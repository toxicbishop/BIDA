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d9e0f06c43ec8285/Desktop/"/>
    </mc:Choice>
  </mc:AlternateContent>
  <xr:revisionPtr revIDLastSave="257" documentId="11_95EC654C2B38E5042291E8FEC1FD69D131C3A5E8" xr6:coauthVersionLast="47" xr6:coauthVersionMax="47" xr10:uidLastSave="{EEC184E7-C438-4147-8325-17565FF00C46}"/>
  <bookViews>
    <workbookView xWindow="-120" yWindow="-120" windowWidth="29040" windowHeight="15720" tabRatio="857" activeTab="8" xr2:uid="{00000000-000D-0000-FFFF-FFFF00000000}"/>
  </bookViews>
  <sheets>
    <sheet name="Dashboard" sheetId="1" r:id="rId1"/>
    <sheet name="StudentData" sheetId="2" r:id="rId2"/>
    <sheet name="Retention Overview" sheetId="3" r:id="rId3"/>
    <sheet name="Grades Distribution" sheetId="4" r:id="rId4"/>
    <sheet name="Grades Distribution 1" sheetId="14" r:id="rId5"/>
    <sheet name="Failures_Impact" sheetId="5" r:id="rId6"/>
    <sheet name="Study Time Impact" sheetId="6" r:id="rId7"/>
    <sheet name="Support Effect" sheetId="7" r:id="rId8"/>
    <sheet name="Absences Impact" sheetId="8" r:id="rId9"/>
    <sheet name="Demographics" sheetId="9" r:id="rId10"/>
    <sheet name="Column Description" sheetId="11" r:id="rId11"/>
  </sheets>
  <calcPr calcId="191029"/>
  <pivotCaches>
    <pivotCache cacheId="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9" l="1"/>
  <c r="B4" i="9"/>
  <c r="B11" i="8"/>
  <c r="B10" i="8"/>
  <c r="B9" i="8"/>
  <c r="B8" i="8"/>
  <c r="B7" i="8"/>
  <c r="B6" i="8"/>
  <c r="B5" i="8"/>
  <c r="B4" i="8"/>
  <c r="C5" i="7"/>
  <c r="B5" i="7"/>
  <c r="C4" i="7"/>
  <c r="B4" i="7"/>
  <c r="B7" i="6"/>
  <c r="B6" i="6"/>
  <c r="B5" i="6"/>
  <c r="B4" i="6"/>
  <c r="C7" i="5"/>
  <c r="B7" i="5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C4" i="9" s="1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B6" i="5" l="1"/>
  <c r="C6" i="5"/>
  <c r="C5" i="5"/>
  <c r="B5" i="5"/>
  <c r="C5" i="9"/>
  <c r="B4" i="3"/>
  <c r="C4" i="5"/>
  <c r="B5" i="3"/>
  <c r="B4" i="5"/>
  <c r="B6" i="3" l="1"/>
  <c r="C4" i="3" s="1"/>
  <c r="C5" i="3" l="1"/>
  <c r="C6" i="3"/>
</calcChain>
</file>

<file path=xl/sharedStrings.xml><?xml version="1.0" encoding="utf-8"?>
<sst xmlns="http://schemas.openxmlformats.org/spreadsheetml/2006/main" count="3054" uniqueCount="385">
  <si>
    <t>Student_ID</t>
  </si>
  <si>
    <t>Gender</t>
  </si>
  <si>
    <t>Age</t>
  </si>
  <si>
    <t>Address</t>
  </si>
  <si>
    <t>Mother_Education</t>
  </si>
  <si>
    <t>Father_Education</t>
  </si>
  <si>
    <t>Internet_Access</t>
  </si>
  <si>
    <t>School_Support</t>
  </si>
  <si>
    <t>Family_Support</t>
  </si>
  <si>
    <t>Extra_Curricular_Activities</t>
  </si>
  <si>
    <t>Wants_Higher_Education</t>
  </si>
  <si>
    <t>Study_Time</t>
  </si>
  <si>
    <t>Number_of_class_Failures</t>
  </si>
  <si>
    <t>Number_of_Absences</t>
  </si>
  <si>
    <t>Final_Grade</t>
  </si>
  <si>
    <t>Dropped_Out</t>
  </si>
  <si>
    <t>STU0001</t>
  </si>
  <si>
    <t>M</t>
  </si>
  <si>
    <t>Urban</t>
  </si>
  <si>
    <t>Primary</t>
  </si>
  <si>
    <t>Secondary</t>
  </si>
  <si>
    <t>yes</t>
  </si>
  <si>
    <t>no</t>
  </si>
  <si>
    <t>STU0002</t>
  </si>
  <si>
    <t>F</t>
  </si>
  <si>
    <t>Rural</t>
  </si>
  <si>
    <t>STU0003</t>
  </si>
  <si>
    <t>STU0004</t>
  </si>
  <si>
    <t>STU0005</t>
  </si>
  <si>
    <t>STU0006</t>
  </si>
  <si>
    <t>STU0007</t>
  </si>
  <si>
    <t>Higher</t>
  </si>
  <si>
    <t>STU0008</t>
  </si>
  <si>
    <t>STU0009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</si>
  <si>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</si>
  <si>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</si>
  <si>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</si>
  <si>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</si>
  <si>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</si>
  <si>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</si>
  <si>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</si>
  <si>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</si>
  <si>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</si>
  <si>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</si>
  <si>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</si>
  <si>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</si>
  <si>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</si>
  <si>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</si>
  <si>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</si>
  <si>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</si>
  <si>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</si>
  <si>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</si>
  <si>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</si>
  <si>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</si>
  <si>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</si>
  <si>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</si>
  <si>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</si>
  <si>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</si>
  <si>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</si>
  <si>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</si>
  <si>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</si>
  <si>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</si>
  <si>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</si>
  <si>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</si>
  <si>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</si>
  <si>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</si>
  <si>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</si>
  <si>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</si>
  <si>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</si>
  <si>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</si>
  <si>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</si>
  <si>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</si>
  <si>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</si>
  <si>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</si>
  <si>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</si>
  <si>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</si>
  <si>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</si>
  <si>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</si>
  <si>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</si>
  <si>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</si>
  <si>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</si>
  <si>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</si>
  <si>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</si>
  <si>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</si>
  <si>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</si>
  <si>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</si>
  <si>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</si>
  <si>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</si>
  <si>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</si>
  <si>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</si>
  <si>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</si>
  <si>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</si>
  <si>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</si>
  <si>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</si>
  <si>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</si>
  <si>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</si>
  <si>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</si>
  <si>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</si>
  <si>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</si>
  <si>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</si>
  <si>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</si>
  <si>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</si>
  <si>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</si>
  <si>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</si>
  <si>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</si>
  <si>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</si>
  <si>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</si>
  <si>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</si>
  <si>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</si>
  <si>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</si>
  <si>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</si>
  <si>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</si>
  <si>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</si>
  <si>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</si>
  <si>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</si>
  <si>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</si>
  <si>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</si>
  <si>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</si>
  <si>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</si>
  <si>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</si>
  <si>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</si>
  <si>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</si>
  <si>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</si>
  <si>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</si>
  <si>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</si>
  <si>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</si>
  <si>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</si>
  <si>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</si>
  <si>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</si>
  <si>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</si>
  <si>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</si>
  <si>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</si>
  <si>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</si>
  <si>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</si>
  <si>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</si>
  <si>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</si>
  <si>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</si>
  <si>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</si>
  <si>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</si>
  <si>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</si>
  <si>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</si>
  <si>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</si>
  <si>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</si>
  <si>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</si>
  <si>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</si>
  <si>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</si>
  <si>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</si>
  <si>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</si>
  <si>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</si>
  <si>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</si>
  <si>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</si>
  <si>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</si>
  <si>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</si>
  <si>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</si>
  <si>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</si>
  <si>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</si>
  <si>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</si>
  <si>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</si>
  <si>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</si>
  <si>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</si>
  <si>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</si>
  <si>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</si>
  <si>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</si>
  <si>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</si>
  <si>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</si>
  <si>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</si>
  <si>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</si>
  <si>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</si>
  <si>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</si>
  <si>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</si>
  <si>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</si>
  <si>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</si>
  <si>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</si>
  <si>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</si>
  <si>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</si>
  <si>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</si>
  <si>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</si>
  <si>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</si>
  <si>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</si>
  <si>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</si>
  <si>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</si>
  <si>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</si>
  <si>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</si>
  <si>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</si>
  <si>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</si>
  <si>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</si>
  <si>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</si>
  <si>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</si>
  <si>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</si>
  <si>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</si>
  <si>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</si>
  <si>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</si>
  <si>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</si>
  <si>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</si>
  <si>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</si>
  <si>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</si>
  <si>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</si>
  <si>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</si>
  <si>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</si>
  <si>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</si>
  <si>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</si>
  <si>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</si>
  <si>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</si>
  <si>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</si>
  <si>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</si>
  <si>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</si>
  <si>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</si>
  <si>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</si>
  <si>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</si>
  <si>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</si>
  <si>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</si>
  <si>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</si>
  <si>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</si>
  <si>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</si>
  <si>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</si>
  <si>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</si>
  <si>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</si>
  <si>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</si>
  <si>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</si>
  <si>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</si>
  <si>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</si>
  <si>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</si>
  <si>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</si>
  <si>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</si>
  <si>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</si>
  <si>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</si>
  <si>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</si>
  <si>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</si>
  <si>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</si>
  <si>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</si>
  <si>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</si>
  <si>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</si>
  <si>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</si>
  <si>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</si>
  <si>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</si>
  <si>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</si>
  <si>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</si>
  <si>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</si>
  <si>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</si>
  <si>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</si>
  <si>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</si>
  <si>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</si>
  <si>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</si>
  <si>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</si>
  <si>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</si>
  <si>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</si>
  <si>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</si>
  <si>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</si>
  <si>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</si>
  <si>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</si>
  <si>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</si>
  <si>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</si>
  <si>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</si>
  <si>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</si>
  <si>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</si>
  <si>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</si>
  <si>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</si>
  <si>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</si>
  <si>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</si>
  <si>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</si>
  <si>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</si>
  <si>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</si>
  <si>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</si>
  <si>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</si>
  <si>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</si>
  <si>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</si>
  <si>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</si>
  <si>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</si>
  <si>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</si>
  <si>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</si>
  <si>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</si>
  <si>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</si>
  <si>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</si>
  <si>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</si>
  <si>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</si>
  <si>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</si>
  <si>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</si>
  <si>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</si>
  <si>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</si>
  <si>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</si>
  <si>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</si>
  <si>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</si>
  <si>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</si>
  <si>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</si>
  <si>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</si>
  <si>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</si>
  <si>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</si>
  <si>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</si>
  <si>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</si>
  <si>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</si>
  <si>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</si>
  <si>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</si>
  <si>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</si>
  <si>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</si>
  <si>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</si>
  <si>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</si>
  <si>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</si>
  <si>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</si>
  <si>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</si>
  <si>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</si>
  <si>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</si>
  <si>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</si>
  <si>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</si>
  <si>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</si>
  <si>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</si>
  <si>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</si>
  <si>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</si>
  <si>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</si>
  <si>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</si>
  <si>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</si>
  <si>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</si>
  <si>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</si>
  <si>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</si>
  <si>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</si>
  <si>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</si>
  <si>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</si>
  <si>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</si>
  <si>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</si>
  <si>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</si>
  <si>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</si>
  <si>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</si>
  <si>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</si>
  <si>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</si>
  <si>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</si>
  <si>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</si>
  <si>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Overall Student Dropout Rate</t>
  </si>
  <si>
    <t>Count of Students</t>
  </si>
  <si>
    <t>% of Grand Total</t>
  </si>
  <si>
    <t>FALSE</t>
  </si>
  <si>
    <t>TRUE</t>
  </si>
  <si>
    <t>Grand Total</t>
  </si>
  <si>
    <t>Final Grade Distribution</t>
  </si>
  <si>
    <t>Number of Students</t>
  </si>
  <si>
    <t>Dropout Status by Class Failures</t>
  </si>
  <si>
    <t>Average Final Grade by Study Time</t>
  </si>
  <si>
    <t>Average of Final_Grade</t>
  </si>
  <si>
    <t>1 (&lt;2 hrs)</t>
  </si>
  <si>
    <t>2 (2-5 hrs)</t>
  </si>
  <si>
    <t>3 (5-10 hrs)</t>
  </si>
  <si>
    <t>4 (&gt;10 hrs)</t>
  </si>
  <si>
    <t>Average Final Grade by School &amp; Family Support</t>
  </si>
  <si>
    <t>School_Support: no</t>
  </si>
  <si>
    <t>School_Support: yes</t>
  </si>
  <si>
    <t>Average Final Grade by Number of Absences</t>
  </si>
  <si>
    <t>Absence_Bucket</t>
  </si>
  <si>
    <t>0-3</t>
  </si>
  <si>
    <t>4-7</t>
  </si>
  <si>
    <t>8-11</t>
  </si>
  <si>
    <t>12-15</t>
  </si>
  <si>
    <t>16-19</t>
  </si>
  <si>
    <t>20-23</t>
  </si>
  <si>
    <t>24-27</t>
  </si>
  <si>
    <t>28-32</t>
  </si>
  <si>
    <t>Demographic Performance by Gender</t>
  </si>
  <si>
    <t>Dropped_Out Rate</t>
  </si>
  <si>
    <t>Column Descriptions:</t>
  </si>
  <si>
    <r>
      <t>1. School</t>
    </r>
    <r>
      <rPr>
        <sz val="14"/>
        <color rgb="FF3C4043"/>
        <rFont val="Inherit"/>
      </rPr>
      <t>: Name of the school attended (e.g., MS).</t>
    </r>
  </si>
  <si>
    <r>
      <t>2. Gender</t>
    </r>
    <r>
      <rPr>
        <sz val="14"/>
        <color rgb="FF3C4043"/>
        <rFont val="Inherit"/>
      </rPr>
      <t>: Gender of the student (e.g., M for Male, F for Female).</t>
    </r>
  </si>
  <si>
    <r>
      <t>3. Age</t>
    </r>
    <r>
      <rPr>
        <sz val="14"/>
        <color rgb="FF3C4043"/>
        <rFont val="Inherit"/>
      </rPr>
      <t>: Age of the student.</t>
    </r>
  </si>
  <si>
    <r>
      <t>4. Address</t>
    </r>
    <r>
      <rPr>
        <sz val="14"/>
        <color rgb="FF3C4043"/>
        <rFont val="Inherit"/>
      </rPr>
      <t>: Type of residence (U for urban, R for rural).</t>
    </r>
  </si>
  <si>
    <r>
      <t>7. Mother_Education</t>
    </r>
    <r>
      <rPr>
        <sz val="14"/>
        <color rgb="FF3C4043"/>
        <rFont val="Inherit"/>
      </rPr>
      <t>: Education level of the mother (0 to 4).</t>
    </r>
  </si>
  <si>
    <r>
      <t>8. Father_Education</t>
    </r>
    <r>
      <rPr>
        <sz val="14"/>
        <color rgb="FF3C4043"/>
        <rFont val="Inherit"/>
      </rPr>
      <t>: Education level of the father (0 to 4).</t>
    </r>
  </si>
  <si>
    <r>
      <t>9. Mother_Job</t>
    </r>
    <r>
      <rPr>
        <sz val="14"/>
        <color rgb="FF3C4043"/>
        <rFont val="Inherit"/>
      </rPr>
      <t>: Type of job held by the mother.</t>
    </r>
  </si>
  <si>
    <r>
      <t>10. Father_Job</t>
    </r>
    <r>
      <rPr>
        <sz val="14"/>
        <color rgb="FF3C4043"/>
        <rFont val="Inherit"/>
      </rPr>
      <t>: Type of job held by the father.</t>
    </r>
  </si>
  <si>
    <r>
      <t>11. Reason_for_Choosing_School</t>
    </r>
    <r>
      <rPr>
        <sz val="14"/>
        <color rgb="FF3C4043"/>
        <rFont val="Inherit"/>
      </rPr>
      <t>: Reason for selecting the school (e.g., course).</t>
    </r>
  </si>
  <si>
    <r>
      <t>12. Guardian</t>
    </r>
    <r>
      <rPr>
        <sz val="14"/>
        <color rgb="FF3C4043"/>
        <rFont val="Inherit"/>
      </rPr>
      <t>: Guardian of the student (e.g., mother).</t>
    </r>
  </si>
  <si>
    <r>
      <t>13. Travel_Time</t>
    </r>
    <r>
      <rPr>
        <sz val="14"/>
        <color rgb="FF3C4043"/>
        <rFont val="Inherit"/>
      </rPr>
      <t>: Time taken to travel to school (in minutes).</t>
    </r>
  </si>
  <si>
    <r>
      <t>14. Study_Time</t>
    </r>
    <r>
      <rPr>
        <sz val="14"/>
        <color rgb="FF3C4043"/>
        <rFont val="Inherit"/>
      </rPr>
      <t>: Weekly study hours (1 to 4).</t>
    </r>
  </si>
  <si>
    <r>
      <t>15. Number_of_Failures</t>
    </r>
    <r>
      <rPr>
        <sz val="14"/>
        <color rgb="FF3C4043"/>
        <rFont val="Inherit"/>
      </rPr>
      <t>: Number of past class failures.</t>
    </r>
  </si>
  <si>
    <r>
      <t>16. School_Support</t>
    </r>
    <r>
      <rPr>
        <sz val="14"/>
        <color rgb="FF3C4043"/>
        <rFont val="Inherit"/>
      </rPr>
      <t>: Whether the student receives extra educational support (yes/no).</t>
    </r>
  </si>
  <si>
    <r>
      <t>17. Family_Support</t>
    </r>
    <r>
      <rPr>
        <sz val="14"/>
        <color rgb="FF3C4043"/>
        <rFont val="Inherit"/>
      </rPr>
      <t>: Family provided educational support (yes/no).</t>
    </r>
  </si>
  <si>
    <r>
      <t>18. Extra_Paid_Class</t>
    </r>
    <r>
      <rPr>
        <sz val="14"/>
        <color rgb="FF3C4043"/>
        <rFont val="Inherit"/>
      </rPr>
      <t>: Participation in extra paid classes (yes/no).</t>
    </r>
  </si>
  <si>
    <r>
      <t>19. Extra_Curricular_Activities</t>
    </r>
    <r>
      <rPr>
        <sz val="14"/>
        <color rgb="FF3C4043"/>
        <rFont val="Inherit"/>
      </rPr>
      <t>: Involvement in extracurricular activities (yes/no).</t>
    </r>
  </si>
  <si>
    <r>
      <t>20. Attended_Nursery</t>
    </r>
    <r>
      <rPr>
        <sz val="14"/>
        <color rgb="FF3C4043"/>
        <rFont val="Inherit"/>
      </rPr>
      <t>: Attendance in nursery school (yes/no).</t>
    </r>
  </si>
  <si>
    <r>
      <t>21. Wants_Higher_Education</t>
    </r>
    <r>
      <rPr>
        <sz val="14"/>
        <color rgb="FF3C4043"/>
        <rFont val="Inherit"/>
      </rPr>
      <t>: Desire to pursue higher education (yes/no).</t>
    </r>
  </si>
  <si>
    <r>
      <t>22. Internet_Access</t>
    </r>
    <r>
      <rPr>
        <sz val="14"/>
        <color rgb="FF3C4043"/>
        <rFont val="Inherit"/>
      </rPr>
      <t>: Availability of internet at home (yes/no).</t>
    </r>
  </si>
  <si>
    <r>
      <t>29. Health_Status</t>
    </r>
    <r>
      <rPr>
        <sz val="14"/>
        <color rgb="FF3C4043"/>
        <rFont val="Inherit"/>
      </rPr>
      <t>: Health rating of the student (scale 1 to 5).</t>
    </r>
  </si>
  <si>
    <r>
      <t>30. Number_of_Absences</t>
    </r>
    <r>
      <rPr>
        <sz val="14"/>
        <color rgb="FF3C4043"/>
        <rFont val="Inherit"/>
      </rPr>
      <t>: Total number of absences from school.</t>
    </r>
  </si>
  <si>
    <r>
      <t>31. Grade_1</t>
    </r>
    <r>
      <rPr>
        <sz val="14"/>
        <color rgb="FF3C4043"/>
        <rFont val="Inherit"/>
      </rPr>
      <t>: Grade received in the first assessment.</t>
    </r>
  </si>
  <si>
    <r>
      <t>32. Grade_2</t>
    </r>
    <r>
      <rPr>
        <sz val="14"/>
        <color rgb="FF3C4043"/>
        <rFont val="Inherit"/>
      </rPr>
      <t>: Grade received in the second assessment.</t>
    </r>
  </si>
  <si>
    <r>
      <t>33. Final_Grade</t>
    </r>
    <r>
      <rPr>
        <sz val="14"/>
        <color rgb="FF3C4043"/>
        <rFont val="Inherit"/>
      </rPr>
      <t>: Final grade received (G3).</t>
    </r>
  </si>
  <si>
    <r>
      <t>34. Dropped_Out</t>
    </r>
    <r>
      <rPr>
        <sz val="14"/>
        <color rgb="FF3C4043"/>
        <rFont val="Inherit"/>
      </rPr>
      <t>: Indicator of whether the student has dropped out (True/False).</t>
    </r>
  </si>
  <si>
    <t>Program 1</t>
  </si>
  <si>
    <t>Row Labels</t>
  </si>
  <si>
    <t>Sum of 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</si>
</sst>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2"/>
      <color rgb="FFFFFFFF"/>
      <name val="Arial"/>
      <charset val="1"/>
    </font>
    <font>
      <i/>
      <sz val="10"/>
      <color rgb="FF555555"/>
      <name val="Arial"/>
      <charset val="1"/>
    </font>
    <font>
      <i/>
      <sz val="9"/>
      <color rgb="FF9AA7B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3864"/>
      <name val="Arial"/>
      <charset val="1"/>
    </font>
    <font>
      <b/>
      <sz val="11"/>
      <name val="Arial"/>
      <charset val="1"/>
    </font>
    <font>
      <b/>
      <sz val="14"/>
      <color rgb="FF202124"/>
      <name val="Arial"/>
      <family val="2"/>
    </font>
    <font>
      <sz val="14"/>
      <color theme="1"/>
      <name val="Calibri"/>
      <family val="2"/>
      <scheme val="minor"/>
    </font>
    <font>
      <b/>
      <sz val="14"/>
      <color rgb="FF3C4043"/>
      <name val="Inherit"/>
    </font>
    <font>
      <sz val="14"/>
      <color rgb="FF3C404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6233A"/>
      </patternFill>
    </fill>
    <fill>
      <patternFill patternType="solid">
        <fgColor rgb="FF0F1B2D"/>
        <bgColor rgb="FF16233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3" borderId="0" xfId="0" applyFill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5" fillId="2" borderId="0" xfId="0" applyFont="1" applyFill="1"/>
    <xf numFmtId="164" fontId="0" fillId="0" borderId="0" xfId="0" applyNumberFormat="1"/>
    <xf numFmtId="0" fontId="8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9" fillId="0" borderId="0" xfId="1" applyFont="1" applyAlignment="1">
      <alignment vertical="center" wrapText="1"/>
    </xf>
    <xf numFmtId="0" fontId="10" fillId="0" borderId="0" xfId="1" applyFont="1"/>
    <xf numFmtId="0" fontId="11" fillId="0" borderId="0" xfId="1" applyFont="1" applyAlignment="1">
      <alignment horizontal="left" vertical="center" wrapText="1" indent="1"/>
    </xf>
    <xf numFmtId="0" fontId="0" fillId="0" borderId="0" xfId="0" pivotButton="1"/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3" xfId="0" applyNumberFormat="1" applyBorder="1"/>
  </cellXfs>
  <cellStyles count="2">
    <cellStyle name="Normal" xfId="0" builtinId="0"/>
    <cellStyle name="Normal 2" xfId="1" xr:uid="{10A2E308-1A43-4967-AFA5-87B45FC69C12}"/>
  </cellStyles>
  <dxfs count="7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B3B3B3"/>
      <rgbColor rgb="FFF4B183"/>
      <rgbColor rgb="FF4A7EBB"/>
      <rgbColor rgb="FF33CCCC"/>
      <rgbColor rgb="FF9BBB59"/>
      <rgbColor rgb="FFFFCC00"/>
      <rgbColor rgb="FFFF9900"/>
      <rgbColor rgb="FFFF6600"/>
      <rgbColor rgb="FF8064A2"/>
      <rgbColor rgb="FF9AA7B8"/>
      <rgbColor rgb="FF1F3864"/>
      <rgbColor rgb="FF4F81BD"/>
      <rgbColor rgb="FF0F1B2D"/>
      <rgbColor rgb="FF333300"/>
      <rgbColor rgb="FF993300"/>
      <rgbColor rgb="FF993366"/>
      <rgbColor rgb="FF555555"/>
      <rgbColor rgb="FF1623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549</c:v>
              </c:pt>
              <c:pt idx="1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8D5F-4A9A-AF26-15D21A16C4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[Student_Retention_Dashboard.xlsx]Grades Distribution 1!PivotTable2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'Grades Distribution 1'!$B$1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'Grades Distribution 1'!$A$2:$A$23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'Grades Distribution 1'!$B$2:$B$23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25</c:v>
                </c:pt>
                <c:pt idx="10">
                  <c:v>27</c:v>
                </c:pt>
                <c:pt idx="11">
                  <c:v>31</c:v>
                </c:pt>
                <c:pt idx="12">
                  <c:v>36</c:v>
                </c:pt>
                <c:pt idx="13">
                  <c:v>35</c:v>
                </c:pt>
                <c:pt idx="14">
                  <c:v>35</c:v>
                </c:pt>
                <c:pt idx="15">
                  <c:v>43</c:v>
                </c:pt>
                <c:pt idx="16">
                  <c:v>17</c:v>
                </c:pt>
                <c:pt idx="17">
                  <c:v>8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2-4B87-896D-654214F1ED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5160016"/>
        <c:axId val="605167936"/>
      </c:lineChart>
      <c:catAx>
        <c:axId val="605160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67936"/>
        <c:crosses val="autoZero"/>
        <c:auto val="1"/>
        <c:lblAlgn val="ctr"/>
        <c:lblOffset val="100"/>
        <c:noMultiLvlLbl val="0"/>
      </c:catAx>
      <c:valAx>
        <c:axId val="605167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area3DChart>
        <c:grouping val="stacked"/>
        <c:varyColors val="0"/>
        <c:ser>
          <c:idx val="0"/>
          <c:order val="0"/>
          <c:tx>
            <c:v>Total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70</c:v>
              </c:pt>
              <c:pt idx="2">
                <c:v>32</c:v>
              </c:pt>
              <c:pt idx="3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00-C0E4-4D7F-A1A7-5A8B0BE128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1627904"/>
        <c:axId val="201647232"/>
        <c:axId val="0"/>
      </c:area3DChart>
      <c:catAx>
        <c:axId val="201627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1647232"/>
        <c:crosses val="autoZero"/>
        <c:auto val="1"/>
        <c:lblAlgn val="ctr"/>
        <c:lblOffset val="100"/>
        <c:noMultiLvlLbl val="0"/>
      </c:catAx>
      <c:valAx>
        <c:axId val="20164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01627904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10.84433962264151</c:v>
              </c:pt>
              <c:pt idx="1">
                <c:v>12.091803278688525</c:v>
              </c:pt>
              <c:pt idx="2">
                <c:v>13.226804123711339</c:v>
              </c:pt>
              <c:pt idx="3">
                <c:v>13.057142857142857</c:v>
              </c:pt>
            </c:numLit>
          </c:val>
          <c:extLst>
            <c:ext xmlns:c16="http://schemas.microsoft.com/office/drawing/2014/chart" uri="{C3380CC4-5D6E-409C-BE32-E72D297353CC}">
              <c16:uniqueId val="{00000000-C9A2-42A9-8458-2E659DBAB82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no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2723</c:v>
              </c:pt>
              <c:pt idx="1">
                <c:v>4237</c:v>
              </c:pt>
            </c:numLit>
          </c:val>
          <c:extLst>
            <c:ext xmlns:c16="http://schemas.microsoft.com/office/drawing/2014/chart" uri="{C3380CC4-5D6E-409C-BE32-E72D297353CC}">
              <c16:uniqueId val="{00000000-D71C-46C3-B877-3611FBEB5119}"/>
            </c:ext>
          </c:extLst>
        </c:ser>
        <c:ser>
          <c:idx val="1"/>
          <c:order val="1"/>
          <c:tx>
            <c:v>yes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205</c:v>
              </c:pt>
              <c:pt idx="1">
                <c:v>562</c:v>
              </c:pt>
            </c:numLit>
          </c:val>
          <c:extLst>
            <c:ext xmlns:c16="http://schemas.microsoft.com/office/drawing/2014/chart" uri="{C3380CC4-5D6E-409C-BE32-E72D297353CC}">
              <c16:uniqueId val="{00000001-D71C-46C3-B877-3611FBEB51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80845568"/>
        <c:axId val="180855552"/>
        <c:axId val="0"/>
      </c:bar3DChart>
      <c:catAx>
        <c:axId val="1808455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80855552"/>
        <c:crosses val="autoZero"/>
        <c:auto val="1"/>
        <c:lblAlgn val="ctr"/>
        <c:lblOffset val="100"/>
        <c:noMultiLvlLbl val="0"/>
      </c:catAx>
      <c:valAx>
        <c:axId val="180855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84556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18</c:v>
              </c:pt>
              <c:pt idx="18">
                <c:v>21</c:v>
              </c:pt>
              <c:pt idx="19">
                <c:v>22</c:v>
              </c:pt>
              <c:pt idx="20">
                <c:v>24</c:v>
              </c:pt>
              <c:pt idx="21">
                <c:v>26</c:v>
              </c:pt>
              <c:pt idx="22">
                <c:v>30</c:v>
              </c:pt>
              <c:pt idx="23">
                <c:v>32</c:v>
              </c:pt>
            </c:strLit>
          </c:cat>
          <c:val>
            <c:numLit>
              <c:formatCode>General</c:formatCode>
              <c:ptCount val="24"/>
              <c:pt idx="0">
                <c:v>12.040983606557377</c:v>
              </c:pt>
              <c:pt idx="1">
                <c:v>12.416666666666666</c:v>
              </c:pt>
              <c:pt idx="2">
                <c:v>12.190909090909091</c:v>
              </c:pt>
              <c:pt idx="3">
                <c:v>10.428571428571429</c:v>
              </c:pt>
              <c:pt idx="4">
                <c:v>12.010752688172044</c:v>
              </c:pt>
              <c:pt idx="5">
                <c:v>11.75</c:v>
              </c:pt>
              <c:pt idx="6">
                <c:v>12.122448979591837</c:v>
              </c:pt>
              <c:pt idx="7">
                <c:v>13</c:v>
              </c:pt>
              <c:pt idx="8">
                <c:v>11.619047619047619</c:v>
              </c:pt>
              <c:pt idx="9">
                <c:v>9.7142857142857135</c:v>
              </c:pt>
              <c:pt idx="10">
                <c:v>12.238095238095237</c:v>
              </c:pt>
              <c:pt idx="11">
                <c:v>11.2</c:v>
              </c:pt>
              <c:pt idx="12">
                <c:v>10.083333333333334</c:v>
              </c:pt>
              <c:pt idx="13">
                <c:v>14</c:v>
              </c:pt>
              <c:pt idx="14">
                <c:v>10.375</c:v>
              </c:pt>
              <c:pt idx="15">
                <c:v>11</c:v>
              </c:pt>
              <c:pt idx="16">
                <c:v>10.3</c:v>
              </c:pt>
              <c:pt idx="17">
                <c:v>12.333333333333334</c:v>
              </c:pt>
              <c:pt idx="18">
                <c:v>11.5</c:v>
              </c:pt>
              <c:pt idx="19">
                <c:v>8</c:v>
              </c:pt>
              <c:pt idx="20">
                <c:v>9</c:v>
              </c:pt>
              <c:pt idx="21">
                <c:v>8</c:v>
              </c:pt>
              <c:pt idx="22">
                <c:v>16</c:v>
              </c:pt>
              <c:pt idx="23">
                <c:v>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D02-4AF8-9784-A8F8C941C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93536"/>
        <c:axId val="201795072"/>
        <c:axId val="201660160"/>
      </c:line3DChart>
      <c:catAx>
        <c:axId val="201793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795072"/>
        <c:crosses val="autoZero"/>
        <c:auto val="1"/>
        <c:lblAlgn val="ctr"/>
        <c:lblOffset val="100"/>
        <c:noMultiLvlLbl val="0"/>
      </c:catAx>
      <c:valAx>
        <c:axId val="20179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793536"/>
        <c:crosses val="autoZero"/>
        <c:crossBetween val="between"/>
      </c:valAx>
      <c:serAx>
        <c:axId val="20166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95072"/>
        <c:crosses val="autoZero"/>
      </c:ser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Lit>
              <c:formatCode>General</c:formatCode>
              <c:ptCount val="2"/>
              <c:pt idx="0">
                <c:v>12.253263707571801</c:v>
              </c:pt>
              <c:pt idx="1">
                <c:v>11.406015037593985</c:v>
              </c:pt>
            </c:numLit>
          </c:val>
          <c:extLst>
            <c:ext xmlns:c16="http://schemas.microsoft.com/office/drawing/2014/chart" uri="{C3380CC4-5D6E-409C-BE32-E72D297353CC}">
              <c16:uniqueId val="{00000000-9179-42E2-801E-331BBCC29A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01844608"/>
        <c:axId val="201847552"/>
        <c:axId val="0"/>
      </c:bar3DChart>
      <c:catAx>
        <c:axId val="2018446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201847552"/>
        <c:crosses val="autoZero"/>
        <c:auto val="1"/>
        <c:lblAlgn val="ctr"/>
        <c:lblOffset val="100"/>
        <c:noMultiLvlLbl val="0"/>
      </c:catAx>
      <c:valAx>
        <c:axId val="2018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18446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Student Dropout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'Retention Overview'!$B$3</c:f>
              <c:strCache>
                <c:ptCount val="1"/>
                <c:pt idx="0">
                  <c:v>Count of 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3E4-40A3-BE98-2FD0AA76940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E4-40A3-BE98-2FD0AA76940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E4-40A3-BE98-2FD0AA76940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E4-40A3-BE98-2FD0AA7694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'Retention Overview'!$A$4:$A$5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'Retention Overview'!$B$4:$B$5</c:f>
              <c:numCache>
                <c:formatCode>General</c:formatCode>
                <c:ptCount val="2"/>
                <c:pt idx="0">
                  <c:v>244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E4-40A3-BE98-2FD0AA769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549</c:v>
              </c:pt>
              <c:pt idx="1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EA03-4A26-B902-F50FB12CEF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Final 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'Grades Distribution'!$B$3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'Grades Distribution'!$A$4:$A$24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'Grades Distribution'!$B$4:$B$24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25</c:v>
                </c:pt>
                <c:pt idx="10">
                  <c:v>27</c:v>
                </c:pt>
                <c:pt idx="11">
                  <c:v>31</c:v>
                </c:pt>
                <c:pt idx="12">
                  <c:v>36</c:v>
                </c:pt>
                <c:pt idx="13">
                  <c:v>35</c:v>
                </c:pt>
                <c:pt idx="14">
                  <c:v>35</c:v>
                </c:pt>
                <c:pt idx="15">
                  <c:v>43</c:v>
                </c:pt>
                <c:pt idx="16">
                  <c:v>17</c:v>
                </c:pt>
                <c:pt idx="17">
                  <c:v>8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C-4CC1-A6B8-D234E042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81675"/>
        <c:axId val="69565465"/>
      </c:barChart>
      <c:catAx>
        <c:axId val="80681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65465"/>
        <c:crosses val="autoZero"/>
        <c:auto val="1"/>
        <c:lblAlgn val="ctr"/>
        <c:lblOffset val="100"/>
        <c:noMultiLvlLbl val="0"/>
      </c:catAx>
      <c:valAx>
        <c:axId val="69565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81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[Student_Retention_Dashboard.xlsx]Grades Distribution 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'Grades Distribution 1'!$B$1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'Grades Distribution 1'!$A$2:$A$23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'Grades Distribution 1'!$B$2:$B$23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25</c:v>
                </c:pt>
                <c:pt idx="10">
                  <c:v>27</c:v>
                </c:pt>
                <c:pt idx="11">
                  <c:v>31</c:v>
                </c:pt>
                <c:pt idx="12">
                  <c:v>36</c:v>
                </c:pt>
                <c:pt idx="13">
                  <c:v>35</c:v>
                </c:pt>
                <c:pt idx="14">
                  <c:v>35</c:v>
                </c:pt>
                <c:pt idx="15">
                  <c:v>43</c:v>
                </c:pt>
                <c:pt idx="16">
                  <c:v>17</c:v>
                </c:pt>
                <c:pt idx="17">
                  <c:v>8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5B-4E27-B9F8-0052245EAC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5160016"/>
        <c:axId val="605167936"/>
      </c:lineChart>
      <c:catAx>
        <c:axId val="605160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67936"/>
        <c:crosses val="autoZero"/>
        <c:auto val="1"/>
        <c:lblAlgn val="ctr"/>
        <c:lblOffset val="100"/>
        <c:noMultiLvlLbl val="0"/>
      </c:catAx>
      <c:valAx>
        <c:axId val="605167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Dropout Status by Class Failures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Failures_Impact!$B$3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Failures_Impact!$A$4:$A$7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Failures_Impact!$B$4:$B$7</c:f>
              <c:numCache>
                <c:formatCode>General</c:formatCode>
                <c:ptCount val="4"/>
                <c:pt idx="0">
                  <c:v>208</c:v>
                </c:pt>
                <c:pt idx="1">
                  <c:v>30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D-4388-96B1-7768F3EFC2F6}"/>
            </c:ext>
          </c:extLst>
        </c:ser>
        <c:ser>
          <c:idx val="1"/>
          <c:order val="1"/>
          <c:tx>
            <c:strRef>
              <c:f>Failures_Impact!$C$3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Failures_Impact!$A$4:$A$7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Failures_Impact!$C$4:$C$7</c:f>
              <c:numCache>
                <c:formatCode>General</c:formatCode>
                <c:ptCount val="4"/>
                <c:pt idx="0">
                  <c:v>7</c:v>
                </c:pt>
                <c:pt idx="1">
                  <c:v>14</c:v>
                </c:pt>
                <c:pt idx="2">
                  <c:v>23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D-4388-96B1-7768F3EFC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12311"/>
        <c:axId val="40889618"/>
      </c:barChart>
      <c:catAx>
        <c:axId val="84312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Class Failures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89618"/>
        <c:crosses val="autoZero"/>
        <c:auto val="1"/>
        <c:lblAlgn val="ctr"/>
        <c:lblOffset val="100"/>
        <c:noMultiLvlLbl val="0"/>
      </c:catAx>
      <c:valAx>
        <c:axId val="40889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12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area3DChart>
        <c:grouping val="stacked"/>
        <c:varyColors val="0"/>
        <c:ser>
          <c:idx val="0"/>
          <c:order val="0"/>
          <c:tx>
            <c:v>Total</c:v>
          </c:tx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70</c:v>
              </c:pt>
              <c:pt idx="2">
                <c:v>32</c:v>
              </c:pt>
              <c:pt idx="3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00-0A95-4933-84A6-59381FA09D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1627904"/>
        <c:axId val="201647232"/>
        <c:axId val="0"/>
      </c:area3DChart>
      <c:catAx>
        <c:axId val="201627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1647232"/>
        <c:crosses val="autoZero"/>
        <c:auto val="1"/>
        <c:lblAlgn val="ctr"/>
        <c:lblOffset val="100"/>
        <c:noMultiLvlLbl val="0"/>
      </c:catAx>
      <c:valAx>
        <c:axId val="20164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01627904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Final Grade by Study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'Study Time Impact'!$B$3</c:f>
              <c:strCache>
                <c:ptCount val="1"/>
                <c:pt idx="0">
                  <c:v>Average of Final_Grade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473-4729-93F3-BAB781A6C4D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473-4729-93F3-BAB781A6C4D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473-4729-93F3-BAB781A6C4D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473-4729-93F3-BAB781A6C4D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73-4729-93F3-BAB781A6C4D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73-4729-93F3-BAB781A6C4D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73-4729-93F3-BAB781A6C4D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73-4729-93F3-BAB781A6C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'Study Time Impact'!$A$4:$A$7</c:f>
              <c:strCache>
                <c:ptCount val="4"/>
                <c:pt idx="0">
                  <c:v>1 (&lt;2 hrs)</c:v>
                </c:pt>
                <c:pt idx="1">
                  <c:v>2 (2-5 hrs)</c:v>
                </c:pt>
                <c:pt idx="2">
                  <c:v>3 (5-10 hrs)</c:v>
                </c:pt>
                <c:pt idx="3">
                  <c:v>4 (&gt;10 hrs)</c:v>
                </c:pt>
              </c:strCache>
            </c:strRef>
          </c:cat>
          <c:val>
            <c:numRef>
              <c:f>'Study Time Impact'!$B$4:$B$7</c:f>
              <c:numCache>
                <c:formatCode>General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73-4729-93F3-BAB781A6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10.84433962264151</c:v>
              </c:pt>
              <c:pt idx="1">
                <c:v>12.091803278688525</c:v>
              </c:pt>
              <c:pt idx="2">
                <c:v>13.226804123711339</c:v>
              </c:pt>
              <c:pt idx="3">
                <c:v>13.057142857142857</c:v>
              </c:pt>
            </c:numLit>
          </c:val>
          <c:extLst>
            <c:ext xmlns:c16="http://schemas.microsoft.com/office/drawing/2014/chart" uri="{C3380CC4-5D6E-409C-BE32-E72D297353CC}">
              <c16:uniqueId val="{00000000-AFB3-49CF-9DDC-6046F36472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Final Grade by School &amp; Family Support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'Support Effect'!$B$3</c:f>
              <c:strCache>
                <c:ptCount val="1"/>
                <c:pt idx="0">
                  <c:v>School_Support: no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'Support Effect'!$A$4:$A$5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'Support Effect'!$B$4:$B$5</c:f>
              <c:numCache>
                <c:formatCode>General</c:formatCode>
                <c:ptCount val="2"/>
                <c:pt idx="0">
                  <c:v>11</c:v>
                </c:pt>
                <c:pt idx="1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7-44A6-82AB-68656052302D}"/>
            </c:ext>
          </c:extLst>
        </c:ser>
        <c:ser>
          <c:idx val="1"/>
          <c:order val="1"/>
          <c:tx>
            <c:strRef>
              <c:f>'Support Effect'!$C$3</c:f>
              <c:strCache>
                <c:ptCount val="1"/>
                <c:pt idx="0">
                  <c:v>School_Support: yes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'Support Effect'!$A$4:$A$5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'Support Effect'!$C$4:$C$5</c:f>
              <c:numCache>
                <c:formatCode>General</c:formatCode>
                <c:ptCount val="2"/>
                <c:pt idx="0">
                  <c:v>12.3</c:v>
                </c:pt>
                <c:pt idx="1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7-44A6-82AB-686560523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14411"/>
        <c:axId val="4102152"/>
      </c:barChart>
      <c:catAx>
        <c:axId val="712144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Final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2152"/>
        <c:crosses val="autoZero"/>
        <c:auto val="1"/>
        <c:lblAlgn val="ctr"/>
        <c:lblOffset val="100"/>
        <c:noMultiLvlLbl val="0"/>
      </c:catAx>
      <c:valAx>
        <c:axId val="41021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Family Support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14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no</c:v>
          </c:tx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2723</c:v>
              </c:pt>
              <c:pt idx="1">
                <c:v>4237</c:v>
              </c:pt>
            </c:numLit>
          </c:val>
          <c:extLst>
            <c:ext xmlns:c16="http://schemas.microsoft.com/office/drawing/2014/chart" uri="{C3380CC4-5D6E-409C-BE32-E72D297353CC}">
              <c16:uniqueId val="{00000000-E546-4170-A532-49F0BB3B8DA7}"/>
            </c:ext>
          </c:extLst>
        </c:ser>
        <c:ser>
          <c:idx val="1"/>
          <c:order val="1"/>
          <c:tx>
            <c:v>yes</c:v>
          </c:tx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205</c:v>
              </c:pt>
              <c:pt idx="1">
                <c:v>562</c:v>
              </c:pt>
            </c:numLit>
          </c:val>
          <c:extLst>
            <c:ext xmlns:c16="http://schemas.microsoft.com/office/drawing/2014/chart" uri="{C3380CC4-5D6E-409C-BE32-E72D297353CC}">
              <c16:uniqueId val="{00000001-E546-4170-A532-49F0BB3B8D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80845568"/>
        <c:axId val="180855552"/>
        <c:axId val="0"/>
      </c:bar3DChart>
      <c:catAx>
        <c:axId val="1808455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80855552"/>
        <c:crosses val="autoZero"/>
        <c:auto val="1"/>
        <c:lblAlgn val="ctr"/>
        <c:lblOffset val="100"/>
        <c:noMultiLvlLbl val="0"/>
      </c:catAx>
      <c:valAx>
        <c:axId val="180855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84556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Final Grade by Number of Absences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'Absences Impact'!$B$3</c:f>
              <c:strCache>
                <c:ptCount val="1"/>
                <c:pt idx="0">
                  <c:v>Average of Final_Grade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'Absences Impact'!$A$4:$A$11</c:f>
              <c:strCache>
                <c:ptCount val="8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28-32</c:v>
                </c:pt>
              </c:strCache>
            </c:strRef>
          </c:cat>
          <c:val>
            <c:numRef>
              <c:f>'Absences Impact'!$B$4:$B$11</c:f>
              <c:numCache>
                <c:formatCode>General</c:formatCode>
                <c:ptCount val="8"/>
                <c:pt idx="0">
                  <c:v>13.9</c:v>
                </c:pt>
                <c:pt idx="1">
                  <c:v>12.9</c:v>
                </c:pt>
                <c:pt idx="2">
                  <c:v>10.4</c:v>
                </c:pt>
                <c:pt idx="3">
                  <c:v>7.7</c:v>
                </c:pt>
                <c:pt idx="4">
                  <c:v>6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0C-49A8-9521-EF427C05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978416"/>
        <c:axId val="66105227"/>
      </c:lineChart>
      <c:catAx>
        <c:axId val="52978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Absences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05227"/>
        <c:crosses val="autoZero"/>
        <c:auto val="1"/>
        <c:lblAlgn val="ctr"/>
        <c:lblOffset val="100"/>
        <c:noMultiLvlLbl val="0"/>
      </c:catAx>
      <c:valAx>
        <c:axId val="66105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Final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78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18</c:v>
              </c:pt>
              <c:pt idx="18">
                <c:v>21</c:v>
              </c:pt>
              <c:pt idx="19">
                <c:v>22</c:v>
              </c:pt>
              <c:pt idx="20">
                <c:v>24</c:v>
              </c:pt>
              <c:pt idx="21">
                <c:v>26</c:v>
              </c:pt>
              <c:pt idx="22">
                <c:v>30</c:v>
              </c:pt>
              <c:pt idx="23">
                <c:v>32</c:v>
              </c:pt>
            </c:strLit>
          </c:cat>
          <c:val>
            <c:numLit>
              <c:formatCode>General</c:formatCode>
              <c:ptCount val="24"/>
              <c:pt idx="0">
                <c:v>12.040983606557377</c:v>
              </c:pt>
              <c:pt idx="1">
                <c:v>12.416666666666666</c:v>
              </c:pt>
              <c:pt idx="2">
                <c:v>12.190909090909091</c:v>
              </c:pt>
              <c:pt idx="3">
                <c:v>10.428571428571429</c:v>
              </c:pt>
              <c:pt idx="4">
                <c:v>12.010752688172044</c:v>
              </c:pt>
              <c:pt idx="5">
                <c:v>11.75</c:v>
              </c:pt>
              <c:pt idx="6">
                <c:v>12.122448979591837</c:v>
              </c:pt>
              <c:pt idx="7">
                <c:v>13</c:v>
              </c:pt>
              <c:pt idx="8">
                <c:v>11.619047619047619</c:v>
              </c:pt>
              <c:pt idx="9">
                <c:v>9.7142857142857135</c:v>
              </c:pt>
              <c:pt idx="10">
                <c:v>12.238095238095237</c:v>
              </c:pt>
              <c:pt idx="11">
                <c:v>11.2</c:v>
              </c:pt>
              <c:pt idx="12">
                <c:v>10.083333333333334</c:v>
              </c:pt>
              <c:pt idx="13">
                <c:v>14</c:v>
              </c:pt>
              <c:pt idx="14">
                <c:v>10.375</c:v>
              </c:pt>
              <c:pt idx="15">
                <c:v>11</c:v>
              </c:pt>
              <c:pt idx="16">
                <c:v>10.3</c:v>
              </c:pt>
              <c:pt idx="17">
                <c:v>12.333333333333334</c:v>
              </c:pt>
              <c:pt idx="18">
                <c:v>11.5</c:v>
              </c:pt>
              <c:pt idx="19">
                <c:v>8</c:v>
              </c:pt>
              <c:pt idx="20">
                <c:v>9</c:v>
              </c:pt>
              <c:pt idx="21">
                <c:v>8</c:v>
              </c:pt>
              <c:pt idx="22">
                <c:v>16</c:v>
              </c:pt>
              <c:pt idx="23">
                <c:v>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9D-47B9-AECF-F2269634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93536"/>
        <c:axId val="201795072"/>
        <c:axId val="201660160"/>
      </c:line3DChart>
      <c:catAx>
        <c:axId val="201793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795072"/>
        <c:crosses val="autoZero"/>
        <c:auto val="1"/>
        <c:lblAlgn val="ctr"/>
        <c:lblOffset val="100"/>
        <c:noMultiLvlLbl val="0"/>
      </c:catAx>
      <c:valAx>
        <c:axId val="20179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793536"/>
        <c:crosses val="autoZero"/>
        <c:crossBetween val="between"/>
      </c:valAx>
      <c:serAx>
        <c:axId val="20166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1795072"/>
        <c:crosses val="autoZero"/>
      </c:ser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Final Grade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Demographics!$B$3</c:f>
              <c:strCache>
                <c:ptCount val="1"/>
                <c:pt idx="0">
                  <c:v>Average of Final_Grade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Demographics!$A$4:$A$5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Demographics!$B$4:$B$5</c:f>
              <c:numCache>
                <c:formatCode>General</c:formatCode>
                <c:ptCount val="2"/>
                <c:pt idx="0">
                  <c:v>11.7</c:v>
                </c:pt>
                <c:pt idx="1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4-4FC9-9BB8-B746FC7A8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528"/>
        <c:axId val="93591542"/>
      </c:barChart>
      <c:catAx>
        <c:axId val="444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91542"/>
        <c:crosses val="autoZero"/>
        <c:auto val="1"/>
        <c:lblAlgn val="ctr"/>
        <c:lblOffset val="100"/>
        <c:noMultiLvlLbl val="0"/>
      </c:catAx>
      <c:valAx>
        <c:axId val="93591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Final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Dropped-Out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Demographics!$C$3</c:f>
              <c:strCache>
                <c:ptCount val="1"/>
                <c:pt idx="0">
                  <c:v>Dropped_Out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Demographics!$A$4:$A$5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Demographics!$C$4:$C$5</c:f>
              <c:numCache>
                <c:formatCode>0.0%</c:formatCode>
                <c:ptCount val="2"/>
                <c:pt idx="0">
                  <c:v>0.16770186335403728</c:v>
                </c:pt>
                <c:pt idx="1">
                  <c:v>0.20863309352517986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199-9F0D-D3595AEFB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02700"/>
        <c:axId val="82744846"/>
      </c:barChart>
      <c:catAx>
        <c:axId val="542027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744846"/>
        <c:crosses val="autoZero"/>
        <c:auto val="1"/>
        <c:lblAlgn val="ctr"/>
        <c:lblOffset val="100"/>
        <c:noMultiLvlLbl val="0"/>
      </c:catAx>
      <c:valAx>
        <c:axId val="82744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Dropout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02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Lit>
              <c:formatCode>General</c:formatCode>
              <c:ptCount val="2"/>
              <c:pt idx="0">
                <c:v>12.253263707571801</c:v>
              </c:pt>
              <c:pt idx="1">
                <c:v>11.406015037593985</c:v>
              </c:pt>
            </c:numLit>
          </c:val>
          <c:extLst>
            <c:ext xmlns:c16="http://schemas.microsoft.com/office/drawing/2014/chart" uri="{C3380CC4-5D6E-409C-BE32-E72D297353CC}">
              <c16:uniqueId val="{00000000-9A1B-48BD-8652-0D6B57F065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201844608"/>
        <c:axId val="201847552"/>
        <c:axId val="0"/>
      </c:bar3DChart>
      <c:catAx>
        <c:axId val="2018446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201847552"/>
        <c:crosses val="autoZero"/>
        <c:auto val="1"/>
        <c:lblAlgn val="ctr"/>
        <c:lblOffset val="100"/>
        <c:noMultiLvlLbl val="0"/>
      </c:catAx>
      <c:valAx>
        <c:axId val="2018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18446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20</xdr:row>
      <xdr:rowOff>38100</xdr:rowOff>
    </xdr:from>
    <xdr:to>
      <xdr:col>14</xdr:col>
      <xdr:colOff>266700</xdr:colOff>
      <xdr:row>34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EC1763-B6B6-42A8-80D8-B1B0F5EC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5</xdr:row>
      <xdr:rowOff>19050</xdr:rowOff>
    </xdr:from>
    <xdr:to>
      <xdr:col>14</xdr:col>
      <xdr:colOff>257175</xdr:colOff>
      <xdr:row>19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13D39A-AFF6-45F0-A692-601AF9F04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428625</xdr:colOff>
      <xdr:row>4</xdr:row>
      <xdr:rowOff>161925</xdr:rowOff>
    </xdr:from>
    <xdr:to>
      <xdr:col>22</xdr:col>
      <xdr:colOff>9525</xdr:colOff>
      <xdr:row>19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9449121-82B1-4932-BB6B-D0FF6B2BD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38100</xdr:colOff>
      <xdr:row>5</xdr:row>
      <xdr:rowOff>9525</xdr:rowOff>
    </xdr:from>
    <xdr:to>
      <xdr:col>29</xdr:col>
      <xdr:colOff>542925</xdr:colOff>
      <xdr:row>19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35209D-BD5B-4787-9AAE-8D857CE9E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28575</xdr:rowOff>
    </xdr:from>
    <xdr:to>
      <xdr:col>7</xdr:col>
      <xdr:colOff>104775</xdr:colOff>
      <xdr:row>34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12D215B-08D5-4805-8187-B4BCF595D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</xdr:row>
      <xdr:rowOff>28575</xdr:rowOff>
    </xdr:from>
    <xdr:to>
      <xdr:col>7</xdr:col>
      <xdr:colOff>104775</xdr:colOff>
      <xdr:row>19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FC85A19-69C1-447D-A621-EA50C70E3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352425</xdr:colOff>
      <xdr:row>20</xdr:row>
      <xdr:rowOff>19050</xdr:rowOff>
    </xdr:from>
    <xdr:to>
      <xdr:col>21</xdr:col>
      <xdr:colOff>537541</xdr:colOff>
      <xdr:row>34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57DF6E-0B0B-4600-B0D9-FA8FFB72D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10</xdr:col>
      <xdr:colOff>290160</xdr:colOff>
      <xdr:row>17</xdr:row>
      <xdr:rowOff>7200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333375</xdr:colOff>
      <xdr:row>2</xdr:row>
      <xdr:rowOff>104775</xdr:rowOff>
    </xdr:from>
    <xdr:to>
      <xdr:col>18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4C2D9-BB1F-4FF4-A126-639D2947D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11</xdr:col>
      <xdr:colOff>147240</xdr:colOff>
      <xdr:row>17</xdr:row>
      <xdr:rowOff>7200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E237E-59FE-9399-7273-83DC7E743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12</xdr:col>
      <xdr:colOff>147240</xdr:colOff>
      <xdr:row>17</xdr:row>
      <xdr:rowOff>7200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466725</xdr:colOff>
      <xdr:row>2</xdr:row>
      <xdr:rowOff>47625</xdr:rowOff>
    </xdr:from>
    <xdr:to>
      <xdr:col>20</xdr:col>
      <xdr:colOff>390525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B2E86-0DDC-4207-9661-229F9C29A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9</xdr:col>
      <xdr:colOff>290160</xdr:colOff>
      <xdr:row>17</xdr:row>
      <xdr:rowOff>7200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2</xdr:row>
      <xdr:rowOff>85725</xdr:rowOff>
    </xdr:from>
    <xdr:to>
      <xdr:col>17</xdr:col>
      <xdr:colOff>419100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F3E74-6AF2-4C6F-84A3-FB94E8F89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12</xdr:col>
      <xdr:colOff>147240</xdr:colOff>
      <xdr:row>17</xdr:row>
      <xdr:rowOff>7200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</xdr:row>
      <xdr:rowOff>104775</xdr:rowOff>
    </xdr:from>
    <xdr:to>
      <xdr:col>21</xdr:col>
      <xdr:colOff>28575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98DE9-BC34-4871-A917-1BF5993E7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11</xdr:col>
      <xdr:colOff>147240</xdr:colOff>
      <xdr:row>17</xdr:row>
      <xdr:rowOff>7200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19</xdr:col>
      <xdr:colOff>504825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F6D36-9E55-443E-88FC-58A03D554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9</xdr:col>
      <xdr:colOff>181800</xdr:colOff>
      <xdr:row>15</xdr:row>
      <xdr:rowOff>28080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9</xdr:col>
      <xdr:colOff>181800</xdr:colOff>
      <xdr:row>32</xdr:row>
      <xdr:rowOff>28080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8</xdr:row>
      <xdr:rowOff>0</xdr:rowOff>
    </xdr:from>
    <xdr:to>
      <xdr:col>19</xdr:col>
      <xdr:colOff>528016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13F4F-C40B-4A89-ADBB-F0250129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v" refreshedDate="46287.844111458333" createdVersion="8" refreshedVersion="8" minRefreshableVersion="3" recordCount="21" xr:uid="{1968E598-6B9B-43B9-A3C1-8CD08158EFE6}">
  <cacheSource type="worksheet">
    <worksheetSource ref="A3:B24" sheet="Grades Distribution"/>
  </cacheSource>
  <cacheFields count="2">
    <cacheField name="Final_Grade" numFmtId="0">
      <sharedItems containsSemiMixedTypes="0" containsString="0" containsNumber="1" containsInteger="1" minValue="0" maxValue="20" count="2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Number of Stude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0"/>
  </r>
  <r>
    <x v="1"/>
    <n v="2"/>
  </r>
  <r>
    <x v="2"/>
    <n v="0"/>
  </r>
  <r>
    <x v="3"/>
    <n v="2"/>
  </r>
  <r>
    <x v="4"/>
    <n v="4"/>
  </r>
  <r>
    <x v="5"/>
    <n v="3"/>
  </r>
  <r>
    <x v="6"/>
    <n v="9"/>
  </r>
  <r>
    <x v="7"/>
    <n v="11"/>
  </r>
  <r>
    <x v="8"/>
    <n v="7"/>
  </r>
  <r>
    <x v="9"/>
    <n v="25"/>
  </r>
  <r>
    <x v="10"/>
    <n v="27"/>
  </r>
  <r>
    <x v="11"/>
    <n v="31"/>
  </r>
  <r>
    <x v="12"/>
    <n v="36"/>
  </r>
  <r>
    <x v="13"/>
    <n v="35"/>
  </r>
  <r>
    <x v="14"/>
    <n v="35"/>
  </r>
  <r>
    <x v="15"/>
    <n v="43"/>
  </r>
  <r>
    <x v="16"/>
    <n v="17"/>
  </r>
  <r>
    <x v="17"/>
    <n v="8"/>
  </r>
  <r>
    <x v="18"/>
    <n v="5"/>
  </r>
  <r>
    <x v="19"/>
    <n v="0"/>
  </r>
  <r>
    <x v="2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3953F-E3A4-44A8-98CB-60DD7C67849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23" firstHeaderRow="1" firstDataRow="1" firstDataCol="1"/>
  <pivotFields count="2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Number of Students" fld="1" baseField="0" baseItem="0"/>
  </dataFields>
  <formats count="5">
    <format dxfId="5">
      <pivotArea dataOnly="0" labelOnly="1" fieldPosition="0">
        <references count="1">
          <reference field="0" count="0"/>
        </references>
      </pivotArea>
    </format>
    <format dxfId="4">
      <pivotArea collapsedLevelsAreSubtotals="1" fieldPosition="0">
        <references count="1">
          <reference field="0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Data" displayName="StudentData" ref="A1:P301" totalsRowShown="0">
  <autoFilter ref="A1:P301" xr:uid="{00000000-0009-0000-0100-000001000000}"/>
  <tableColumns count="16">
    <tableColumn id="1" xr3:uid="{00000000-0010-0000-0000-000001000000}" name="Student_ID" dataDxfId="6"/>
    <tableColumn id="2" xr3:uid="{00000000-0010-0000-0000-000002000000}" name="Gender"/>
    <tableColumn id="3" xr3:uid="{00000000-0010-0000-0000-000003000000}" name="Age"/>
    <tableColumn id="4" xr3:uid="{00000000-0010-0000-0000-000004000000}" name="Address"/>
    <tableColumn id="5" xr3:uid="{00000000-0010-0000-0000-000005000000}" name="Mother_Education"/>
    <tableColumn id="6" xr3:uid="{00000000-0010-0000-0000-000006000000}" name="Father_Education"/>
    <tableColumn id="7" xr3:uid="{00000000-0010-0000-0000-000007000000}" name="Internet_Access"/>
    <tableColumn id="8" xr3:uid="{00000000-0010-0000-0000-000008000000}" name="School_Support"/>
    <tableColumn id="9" xr3:uid="{00000000-0010-0000-0000-000009000000}" name="Family_Support"/>
    <tableColumn id="10" xr3:uid="{00000000-0010-0000-0000-00000A000000}" name="Extra_Curricular_Activities"/>
    <tableColumn id="11" xr3:uid="{00000000-0010-0000-0000-00000B000000}" name="Wants_Higher_Education"/>
    <tableColumn id="12" xr3:uid="{00000000-0010-0000-0000-00000C000000}" name="Study_Time"/>
    <tableColumn id="13" xr3:uid="{00000000-0010-0000-0000-00000D000000}" name="Number_of_class_Failures"/>
    <tableColumn id="14" xr3:uid="{00000000-0010-0000-0000-00000E000000}" name="Number_of_Absences"/>
    <tableColumn id="15" xr3:uid="{00000000-0010-0000-0000-00000F000000}" name="Final_Grade"/>
    <tableColumn id="16" xr3:uid="{00000000-0010-0000-0000-000010000000}" name="Dropped_Ou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AI55"/>
  <sheetViews>
    <sheetView showGridLines="0" zoomScaleNormal="100" workbookViewId="0">
      <selection activeCell="T1" sqref="T1"/>
    </sheetView>
  </sheetViews>
  <sheetFormatPr defaultColWidth="8.7109375" defaultRowHeight="15"/>
  <cols>
    <col min="1" max="20" width="9.5703125" customWidth="1"/>
  </cols>
  <sheetData>
    <row r="1" spans="1:35" ht="21.75" customHeight="1">
      <c r="A1" s="8" t="s">
        <v>382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</sheetData>
  <mergeCells count="3">
    <mergeCell ref="A45:R46"/>
    <mergeCell ref="A1:R2"/>
    <mergeCell ref="A3:R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301"/>
  <sheetViews>
    <sheetView zoomScaleNormal="100" workbookViewId="0">
      <pane ySplit="1" topLeftCell="A2" activePane="bottomLeft" state="frozen"/>
      <selection pane="bottomLeft" activeCell="I37" sqref="I37"/>
    </sheetView>
  </sheetViews>
  <sheetFormatPr defaultColWidth="8.7109375" defaultRowHeight="15"/>
  <cols>
    <col min="1" max="1" width="17.5703125" customWidth="1"/>
    <col min="2" max="2" width="15" customWidth="1"/>
    <col min="3" max="3" width="14.5703125" customWidth="1"/>
    <col min="4" max="4" width="18.42578125" customWidth="1"/>
    <col min="5" max="5" width="27.140625" customWidth="1"/>
    <col min="6" max="6" width="24.42578125" customWidth="1"/>
    <col min="7" max="7" width="23.5703125" customWidth="1"/>
    <col min="8" max="8" width="26.85546875" customWidth="1"/>
    <col min="9" max="9" width="24.140625" customWidth="1"/>
    <col min="10" max="10" width="35" customWidth="1"/>
    <col min="11" max="11" width="34.5703125" customWidth="1"/>
    <col min="12" max="12" width="21.7109375" customWidth="1"/>
    <col min="13" max="13" width="34.85546875" customWidth="1"/>
    <col min="14" max="14" width="32.42578125" customWidth="1"/>
    <col min="15" max="15" width="21" customWidth="1"/>
    <col min="16" max="16" width="23.5703125" customWidth="1"/>
  </cols>
  <sheetData>
    <row r="1" spans="1:16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customHeight="1">
      <c r="A2" s="3" t="s">
        <v>16</v>
      </c>
      <c r="B2" s="3" t="s">
        <v>17</v>
      </c>
      <c r="C2" s="3">
        <v>19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21</v>
      </c>
      <c r="I2" s="3" t="s">
        <v>22</v>
      </c>
      <c r="J2" s="3" t="s">
        <v>21</v>
      </c>
      <c r="K2" s="3" t="s">
        <v>21</v>
      </c>
      <c r="L2" s="3">
        <v>2</v>
      </c>
      <c r="M2" s="3">
        <v>0</v>
      </c>
      <c r="N2" s="3">
        <v>2</v>
      </c>
      <c r="O2" s="3">
        <v>14</v>
      </c>
      <c r="P2" s="3" t="b">
        <f>FALSE()</f>
        <v>0</v>
      </c>
    </row>
    <row r="3" spans="1:16" ht="15" customHeight="1">
      <c r="A3" s="3" t="s">
        <v>23</v>
      </c>
      <c r="B3" s="3" t="s">
        <v>24</v>
      </c>
      <c r="C3" s="3">
        <v>21</v>
      </c>
      <c r="D3" s="3" t="s">
        <v>25</v>
      </c>
      <c r="E3" s="3" t="s">
        <v>20</v>
      </c>
      <c r="F3" s="3" t="s">
        <v>19</v>
      </c>
      <c r="G3" s="3" t="s">
        <v>22</v>
      </c>
      <c r="H3" s="3" t="s">
        <v>21</v>
      </c>
      <c r="I3" s="3" t="s">
        <v>21</v>
      </c>
      <c r="J3" s="3" t="s">
        <v>22</v>
      </c>
      <c r="K3" s="3" t="s">
        <v>21</v>
      </c>
      <c r="L3" s="3">
        <v>2</v>
      </c>
      <c r="M3" s="3">
        <v>0</v>
      </c>
      <c r="N3" s="3">
        <v>5</v>
      </c>
      <c r="O3" s="3">
        <v>17</v>
      </c>
      <c r="P3" s="3" t="b">
        <f>FALSE()</f>
        <v>0</v>
      </c>
    </row>
    <row r="4" spans="1:16" ht="15" customHeight="1">
      <c r="A4" s="3" t="s">
        <v>26</v>
      </c>
      <c r="B4" s="3" t="s">
        <v>17</v>
      </c>
      <c r="C4" s="3">
        <v>20</v>
      </c>
      <c r="D4" s="3" t="s">
        <v>25</v>
      </c>
      <c r="E4" s="3" t="s">
        <v>19</v>
      </c>
      <c r="F4" s="3" t="s">
        <v>19</v>
      </c>
      <c r="G4" s="3" t="s">
        <v>21</v>
      </c>
      <c r="H4" s="3" t="s">
        <v>21</v>
      </c>
      <c r="I4" s="3" t="s">
        <v>22</v>
      </c>
      <c r="J4" s="3" t="s">
        <v>21</v>
      </c>
      <c r="K4" s="3" t="s">
        <v>21</v>
      </c>
      <c r="L4" s="3">
        <v>3</v>
      </c>
      <c r="M4" s="3">
        <v>0</v>
      </c>
      <c r="N4" s="3">
        <v>3</v>
      </c>
      <c r="O4" s="3">
        <v>13</v>
      </c>
      <c r="P4" s="3" t="b">
        <f>FALSE()</f>
        <v>0</v>
      </c>
    </row>
    <row r="5" spans="1:16" ht="15" customHeight="1">
      <c r="A5" s="3" t="s">
        <v>27</v>
      </c>
      <c r="B5" s="3" t="s">
        <v>17</v>
      </c>
      <c r="C5" s="3">
        <v>16</v>
      </c>
      <c r="D5" s="3" t="s">
        <v>18</v>
      </c>
      <c r="E5" s="3" t="s">
        <v>20</v>
      </c>
      <c r="F5" s="3" t="s">
        <v>19</v>
      </c>
      <c r="G5" s="3" t="s">
        <v>21</v>
      </c>
      <c r="H5" s="3" t="s">
        <v>21</v>
      </c>
      <c r="I5" s="3" t="s">
        <v>22</v>
      </c>
      <c r="J5" s="3" t="s">
        <v>22</v>
      </c>
      <c r="K5" s="3" t="s">
        <v>22</v>
      </c>
      <c r="L5" s="3">
        <v>2</v>
      </c>
      <c r="M5" s="3">
        <v>0</v>
      </c>
      <c r="N5" s="3">
        <v>8</v>
      </c>
      <c r="O5" s="3">
        <v>16</v>
      </c>
      <c r="P5" s="3" t="b">
        <f>FALSE()</f>
        <v>0</v>
      </c>
    </row>
    <row r="6" spans="1:16" ht="15" customHeight="1">
      <c r="A6" s="3" t="s">
        <v>28</v>
      </c>
      <c r="B6" s="3" t="s">
        <v>24</v>
      </c>
      <c r="C6" s="3">
        <v>21</v>
      </c>
      <c r="D6" s="3" t="s">
        <v>18</v>
      </c>
      <c r="E6" s="3" t="s">
        <v>20</v>
      </c>
      <c r="F6" s="3" t="s">
        <v>19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21</v>
      </c>
      <c r="L6" s="3">
        <v>3</v>
      </c>
      <c r="M6" s="3">
        <v>0</v>
      </c>
      <c r="N6" s="3">
        <v>12</v>
      </c>
      <c r="O6" s="3">
        <v>12</v>
      </c>
      <c r="P6" s="3" t="b">
        <f>FALSE()</f>
        <v>0</v>
      </c>
    </row>
    <row r="7" spans="1:16" ht="15" customHeight="1">
      <c r="A7" s="3" t="s">
        <v>29</v>
      </c>
      <c r="B7" s="3" t="s">
        <v>17</v>
      </c>
      <c r="C7" s="3">
        <v>19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22</v>
      </c>
      <c r="J7" s="3" t="s">
        <v>21</v>
      </c>
      <c r="K7" s="3" t="s">
        <v>21</v>
      </c>
      <c r="L7" s="3">
        <v>4</v>
      </c>
      <c r="M7" s="3">
        <v>0</v>
      </c>
      <c r="N7" s="3">
        <v>6</v>
      </c>
      <c r="O7" s="3">
        <v>18</v>
      </c>
      <c r="P7" s="3" t="b">
        <f>FALSE()</f>
        <v>0</v>
      </c>
    </row>
    <row r="8" spans="1:16" ht="15" customHeight="1">
      <c r="A8" s="3" t="s">
        <v>30</v>
      </c>
      <c r="B8" s="3" t="s">
        <v>17</v>
      </c>
      <c r="C8" s="3">
        <v>17</v>
      </c>
      <c r="D8" s="3" t="s">
        <v>25</v>
      </c>
      <c r="E8" s="3" t="s">
        <v>20</v>
      </c>
      <c r="F8" s="3" t="s">
        <v>31</v>
      </c>
      <c r="G8" s="3" t="s">
        <v>21</v>
      </c>
      <c r="H8" s="3" t="s">
        <v>21</v>
      </c>
      <c r="I8" s="3" t="s">
        <v>21</v>
      </c>
      <c r="J8" s="3" t="s">
        <v>22</v>
      </c>
      <c r="K8" s="3" t="s">
        <v>21</v>
      </c>
      <c r="L8" s="3">
        <v>2</v>
      </c>
      <c r="M8" s="3">
        <v>0</v>
      </c>
      <c r="N8" s="3">
        <v>9</v>
      </c>
      <c r="O8" s="3">
        <v>15</v>
      </c>
      <c r="P8" s="3" t="b">
        <f>FALSE()</f>
        <v>0</v>
      </c>
    </row>
    <row r="9" spans="1:16" ht="15" customHeight="1">
      <c r="A9" s="3" t="s">
        <v>32</v>
      </c>
      <c r="B9" s="3" t="s">
        <v>17</v>
      </c>
      <c r="C9" s="3">
        <v>19</v>
      </c>
      <c r="D9" s="3" t="s">
        <v>18</v>
      </c>
      <c r="E9" s="3" t="s">
        <v>31</v>
      </c>
      <c r="F9" s="3" t="s">
        <v>19</v>
      </c>
      <c r="G9" s="3" t="s">
        <v>21</v>
      </c>
      <c r="H9" s="3" t="s">
        <v>22</v>
      </c>
      <c r="I9" s="3" t="s">
        <v>21</v>
      </c>
      <c r="J9" s="3" t="s">
        <v>22</v>
      </c>
      <c r="K9" s="3" t="s">
        <v>21</v>
      </c>
      <c r="L9" s="3">
        <v>2</v>
      </c>
      <c r="M9" s="3">
        <v>0</v>
      </c>
      <c r="N9" s="3">
        <v>0</v>
      </c>
      <c r="O9" s="3">
        <v>15</v>
      </c>
      <c r="P9" s="3" t="b">
        <f>FALSE()</f>
        <v>0</v>
      </c>
    </row>
    <row r="10" spans="1:16" ht="15" customHeight="1">
      <c r="A10" s="3" t="s">
        <v>33</v>
      </c>
      <c r="B10" s="3" t="s">
        <v>24</v>
      </c>
      <c r="C10" s="3">
        <v>22</v>
      </c>
      <c r="D10" s="3" t="s">
        <v>25</v>
      </c>
      <c r="E10" s="3"/>
      <c r="F10" s="3" t="s">
        <v>20</v>
      </c>
      <c r="G10" s="3" t="s">
        <v>21</v>
      </c>
      <c r="H10" s="3" t="s">
        <v>22</v>
      </c>
      <c r="I10" s="3" t="s">
        <v>22</v>
      </c>
      <c r="J10" s="3" t="s">
        <v>21</v>
      </c>
      <c r="K10" s="3" t="s">
        <v>21</v>
      </c>
      <c r="L10" s="3">
        <v>3</v>
      </c>
      <c r="M10" s="3">
        <v>2</v>
      </c>
      <c r="N10" s="3">
        <v>18</v>
      </c>
      <c r="O10" s="3">
        <v>7</v>
      </c>
      <c r="P10" s="3" t="b">
        <f>TRUE()</f>
        <v>1</v>
      </c>
    </row>
    <row r="11" spans="1:16" ht="15" customHeight="1">
      <c r="A11" s="3" t="s">
        <v>34</v>
      </c>
      <c r="B11" s="3" t="s">
        <v>24</v>
      </c>
      <c r="C11" s="3">
        <v>21</v>
      </c>
      <c r="D11" s="3" t="s">
        <v>18</v>
      </c>
      <c r="E11" s="3" t="s">
        <v>20</v>
      </c>
      <c r="F11" s="3" t="s">
        <v>20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>
        <v>2</v>
      </c>
      <c r="M11" s="3">
        <v>0</v>
      </c>
      <c r="N11" s="3">
        <v>7</v>
      </c>
      <c r="O11" s="3">
        <v>12</v>
      </c>
      <c r="P11" s="3" t="b">
        <f>FALSE()</f>
        <v>0</v>
      </c>
    </row>
    <row r="12" spans="1:16" ht="15" customHeight="1">
      <c r="A12" s="3" t="s">
        <v>35</v>
      </c>
      <c r="B12" s="3" t="s">
        <v>24</v>
      </c>
      <c r="C12" s="3">
        <v>21</v>
      </c>
      <c r="D12" s="3" t="s">
        <v>18</v>
      </c>
      <c r="E12" s="3" t="s">
        <v>31</v>
      </c>
      <c r="F12" s="3" t="s">
        <v>31</v>
      </c>
      <c r="G12" s="3" t="s">
        <v>21</v>
      </c>
      <c r="H12" s="3" t="s">
        <v>21</v>
      </c>
      <c r="I12" s="3" t="s">
        <v>21</v>
      </c>
      <c r="J12" s="3" t="s">
        <v>22</v>
      </c>
      <c r="K12" s="3" t="s">
        <v>21</v>
      </c>
      <c r="L12" s="3">
        <v>2</v>
      </c>
      <c r="M12" s="3">
        <v>3</v>
      </c>
      <c r="N12" s="3">
        <v>10</v>
      </c>
      <c r="O12" s="3">
        <v>6</v>
      </c>
      <c r="P12" s="3" t="b">
        <f>TRUE()</f>
        <v>1</v>
      </c>
    </row>
    <row r="13" spans="1:16" ht="15" customHeight="1">
      <c r="A13" s="3" t="s">
        <v>36</v>
      </c>
      <c r="B13" s="3" t="s">
        <v>17</v>
      </c>
      <c r="C13" s="3">
        <v>18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21</v>
      </c>
      <c r="J13" s="3" t="s">
        <v>22</v>
      </c>
      <c r="K13" s="3" t="s">
        <v>21</v>
      </c>
      <c r="L13" s="3">
        <v>2</v>
      </c>
      <c r="M13" s="3">
        <v>3</v>
      </c>
      <c r="N13" s="3">
        <v>8</v>
      </c>
      <c r="O13" s="3">
        <v>8</v>
      </c>
      <c r="P13" s="3" t="b">
        <f>TRUE()</f>
        <v>1</v>
      </c>
    </row>
    <row r="14" spans="1:16" ht="15" customHeight="1">
      <c r="A14" s="3" t="s">
        <v>37</v>
      </c>
      <c r="B14" s="3" t="s">
        <v>17</v>
      </c>
      <c r="C14" s="3">
        <v>21</v>
      </c>
      <c r="D14" s="3" t="s">
        <v>25</v>
      </c>
      <c r="E14" s="3"/>
      <c r="F14" s="3" t="s">
        <v>19</v>
      </c>
      <c r="G14" s="3" t="s">
        <v>21</v>
      </c>
      <c r="H14" s="3" t="s">
        <v>22</v>
      </c>
      <c r="I14" s="3" t="s">
        <v>21</v>
      </c>
      <c r="J14" s="3" t="s">
        <v>21</v>
      </c>
      <c r="K14" s="3" t="s">
        <v>21</v>
      </c>
      <c r="L14" s="3">
        <v>2</v>
      </c>
      <c r="M14" s="3">
        <v>0</v>
      </c>
      <c r="N14" s="3">
        <v>7</v>
      </c>
      <c r="O14" s="3">
        <v>13</v>
      </c>
      <c r="P14" s="3" t="b">
        <f>FALSE()</f>
        <v>0</v>
      </c>
    </row>
    <row r="15" spans="1:16" ht="15" customHeight="1">
      <c r="A15" s="3" t="s">
        <v>38</v>
      </c>
      <c r="B15" s="3" t="s">
        <v>17</v>
      </c>
      <c r="C15" s="3">
        <v>18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>
        <v>1</v>
      </c>
      <c r="M15" s="3">
        <v>1</v>
      </c>
      <c r="N15" s="3">
        <v>8</v>
      </c>
      <c r="O15" s="3">
        <v>9</v>
      </c>
      <c r="P15" s="3" t="b">
        <f>FALSE()</f>
        <v>0</v>
      </c>
    </row>
    <row r="16" spans="1:16" ht="15" customHeight="1">
      <c r="A16" s="3" t="s">
        <v>39</v>
      </c>
      <c r="B16" s="3" t="s">
        <v>24</v>
      </c>
      <c r="C16" s="3">
        <v>20</v>
      </c>
      <c r="D16" s="3" t="s">
        <v>18</v>
      </c>
      <c r="E16" s="3" t="s">
        <v>31</v>
      </c>
      <c r="F16" s="3" t="s">
        <v>19</v>
      </c>
      <c r="G16" s="3" t="s">
        <v>21</v>
      </c>
      <c r="H16" s="3" t="s">
        <v>22</v>
      </c>
      <c r="I16" s="3" t="s">
        <v>22</v>
      </c>
      <c r="J16" s="3" t="s">
        <v>22</v>
      </c>
      <c r="K16" s="3" t="s">
        <v>21</v>
      </c>
      <c r="L16" s="3">
        <v>2</v>
      </c>
      <c r="M16" s="3">
        <v>0</v>
      </c>
      <c r="N16" s="3">
        <v>11</v>
      </c>
      <c r="O16" s="3">
        <v>11</v>
      </c>
      <c r="P16" s="3" t="b">
        <f>FALSE()</f>
        <v>0</v>
      </c>
    </row>
    <row r="17" spans="1:16" ht="15" customHeight="1">
      <c r="A17" s="3" t="s">
        <v>40</v>
      </c>
      <c r="B17" s="3" t="s">
        <v>24</v>
      </c>
      <c r="C17" s="3">
        <v>20</v>
      </c>
      <c r="D17" s="3" t="s">
        <v>25</v>
      </c>
      <c r="E17" s="3"/>
      <c r="F17" s="3" t="s">
        <v>31</v>
      </c>
      <c r="G17" s="3" t="s">
        <v>21</v>
      </c>
      <c r="H17" s="3" t="s">
        <v>22</v>
      </c>
      <c r="I17" s="3" t="s">
        <v>21</v>
      </c>
      <c r="J17" s="3" t="s">
        <v>21</v>
      </c>
      <c r="K17" s="3" t="s">
        <v>21</v>
      </c>
      <c r="L17" s="3">
        <v>1</v>
      </c>
      <c r="M17" s="3">
        <v>1</v>
      </c>
      <c r="N17" s="3">
        <v>12</v>
      </c>
      <c r="O17" s="3">
        <v>11</v>
      </c>
      <c r="P17" s="3" t="b">
        <f>FALSE()</f>
        <v>0</v>
      </c>
    </row>
    <row r="18" spans="1:16" ht="15" customHeight="1">
      <c r="A18" s="3" t="s">
        <v>41</v>
      </c>
      <c r="B18" s="3" t="s">
        <v>17</v>
      </c>
      <c r="C18" s="3">
        <v>16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22</v>
      </c>
      <c r="J18" s="3" t="s">
        <v>22</v>
      </c>
      <c r="K18" s="3" t="s">
        <v>21</v>
      </c>
      <c r="L18" s="3">
        <v>2</v>
      </c>
      <c r="M18" s="3">
        <v>0</v>
      </c>
      <c r="N18" s="3">
        <v>7</v>
      </c>
      <c r="O18" s="3">
        <v>15</v>
      </c>
      <c r="P18" s="3" t="b">
        <f>FALSE()</f>
        <v>0</v>
      </c>
    </row>
    <row r="19" spans="1:16" ht="15" customHeight="1">
      <c r="A19" s="3" t="s">
        <v>42</v>
      </c>
      <c r="B19" s="3" t="s">
        <v>24</v>
      </c>
      <c r="C19" s="3">
        <v>17</v>
      </c>
      <c r="D19" s="3" t="s">
        <v>25</v>
      </c>
      <c r="E19" s="3"/>
      <c r="F19" s="3" t="s">
        <v>20</v>
      </c>
      <c r="G19" s="3" t="s">
        <v>21</v>
      </c>
      <c r="H19" s="3" t="s">
        <v>21</v>
      </c>
      <c r="I19" s="3" t="s">
        <v>22</v>
      </c>
      <c r="J19" s="3" t="s">
        <v>21</v>
      </c>
      <c r="K19" s="3" t="s">
        <v>21</v>
      </c>
      <c r="L19" s="3">
        <v>2</v>
      </c>
      <c r="M19" s="3">
        <v>0</v>
      </c>
      <c r="N19" s="3">
        <v>11</v>
      </c>
      <c r="O19" s="3">
        <v>11</v>
      </c>
      <c r="P19" s="3" t="b">
        <f>FALSE()</f>
        <v>0</v>
      </c>
    </row>
    <row r="20" spans="1:16" ht="15" customHeight="1">
      <c r="A20" s="3" t="s">
        <v>43</v>
      </c>
      <c r="B20" s="3" t="s">
        <v>17</v>
      </c>
      <c r="C20" s="3">
        <v>15</v>
      </c>
      <c r="D20" s="3" t="s">
        <v>18</v>
      </c>
      <c r="E20" s="3" t="s">
        <v>19</v>
      </c>
      <c r="F20" s="3"/>
      <c r="G20" s="3" t="s">
        <v>21</v>
      </c>
      <c r="H20" s="3" t="s">
        <v>21</v>
      </c>
      <c r="I20" s="3" t="s">
        <v>21</v>
      </c>
      <c r="J20" s="3" t="s">
        <v>22</v>
      </c>
      <c r="K20" s="3" t="s">
        <v>21</v>
      </c>
      <c r="L20" s="3">
        <v>4</v>
      </c>
      <c r="M20" s="3">
        <v>0</v>
      </c>
      <c r="N20" s="3">
        <v>5</v>
      </c>
      <c r="O20" s="3">
        <v>15</v>
      </c>
      <c r="P20" s="3" t="b">
        <f>FALSE()</f>
        <v>0</v>
      </c>
    </row>
    <row r="21" spans="1:16" ht="15" customHeight="1">
      <c r="A21" s="3" t="s">
        <v>44</v>
      </c>
      <c r="B21" s="3" t="s">
        <v>17</v>
      </c>
      <c r="C21" s="3">
        <v>16</v>
      </c>
      <c r="D21" s="3" t="s">
        <v>18</v>
      </c>
      <c r="E21" s="3" t="s">
        <v>20</v>
      </c>
      <c r="F21" s="3" t="s">
        <v>20</v>
      </c>
      <c r="G21" s="3" t="s">
        <v>21</v>
      </c>
      <c r="H21" s="3" t="s">
        <v>22</v>
      </c>
      <c r="I21" s="3" t="s">
        <v>21</v>
      </c>
      <c r="J21" s="3" t="s">
        <v>22</v>
      </c>
      <c r="K21" s="3" t="s">
        <v>22</v>
      </c>
      <c r="L21" s="3">
        <v>1</v>
      </c>
      <c r="M21" s="3">
        <v>0</v>
      </c>
      <c r="N21" s="3">
        <v>5</v>
      </c>
      <c r="O21" s="3">
        <v>13</v>
      </c>
      <c r="P21" s="3" t="b">
        <f>FALSE()</f>
        <v>0</v>
      </c>
    </row>
    <row r="22" spans="1:16" ht="15" customHeight="1">
      <c r="A22" s="3" t="s">
        <v>45</v>
      </c>
      <c r="B22" s="3" t="s">
        <v>17</v>
      </c>
      <c r="C22" s="3">
        <v>18</v>
      </c>
      <c r="D22" s="3" t="s">
        <v>18</v>
      </c>
      <c r="E22" s="3" t="s">
        <v>19</v>
      </c>
      <c r="F22" s="3" t="s">
        <v>31</v>
      </c>
      <c r="G22" s="3" t="s">
        <v>21</v>
      </c>
      <c r="H22" s="3" t="s">
        <v>21</v>
      </c>
      <c r="I22" s="3" t="s">
        <v>21</v>
      </c>
      <c r="J22" s="3" t="s">
        <v>22</v>
      </c>
      <c r="K22" s="3" t="s">
        <v>21</v>
      </c>
      <c r="L22" s="3">
        <v>2</v>
      </c>
      <c r="M22" s="3">
        <v>3</v>
      </c>
      <c r="N22" s="3">
        <v>8</v>
      </c>
      <c r="O22" s="3">
        <v>9</v>
      </c>
      <c r="P22" s="3" t="b">
        <f>TRUE()</f>
        <v>1</v>
      </c>
    </row>
    <row r="23" spans="1:16" ht="15" customHeight="1">
      <c r="A23" s="3" t="s">
        <v>46</v>
      </c>
      <c r="B23" s="3" t="s">
        <v>24</v>
      </c>
      <c r="C23" s="3">
        <v>18</v>
      </c>
      <c r="D23" s="3" t="s">
        <v>18</v>
      </c>
      <c r="E23" s="3" t="s">
        <v>20</v>
      </c>
      <c r="F23" s="3" t="s">
        <v>20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21</v>
      </c>
      <c r="L23" s="3">
        <v>2</v>
      </c>
      <c r="M23" s="3">
        <v>0</v>
      </c>
      <c r="N23" s="3">
        <v>4</v>
      </c>
      <c r="O23" s="3">
        <v>15</v>
      </c>
      <c r="P23" s="3" t="b">
        <f>FALSE()</f>
        <v>0</v>
      </c>
    </row>
    <row r="24" spans="1:16" ht="15" customHeight="1">
      <c r="A24" s="3" t="s">
        <v>47</v>
      </c>
      <c r="B24" s="3" t="s">
        <v>17</v>
      </c>
      <c r="C24" s="3">
        <v>16</v>
      </c>
      <c r="D24" s="3" t="s">
        <v>18</v>
      </c>
      <c r="E24" s="3" t="s">
        <v>20</v>
      </c>
      <c r="F24" s="3" t="s">
        <v>20</v>
      </c>
      <c r="G24" s="3" t="s">
        <v>21</v>
      </c>
      <c r="H24" s="3" t="s">
        <v>22</v>
      </c>
      <c r="I24" s="3" t="s">
        <v>22</v>
      </c>
      <c r="J24" s="3" t="s">
        <v>22</v>
      </c>
      <c r="K24" s="3" t="s">
        <v>21</v>
      </c>
      <c r="L24" s="3">
        <v>1</v>
      </c>
      <c r="M24" s="3">
        <v>1</v>
      </c>
      <c r="N24" s="3">
        <v>11</v>
      </c>
      <c r="O24" s="3">
        <v>6</v>
      </c>
      <c r="P24" s="3" t="b">
        <f>TRUE()</f>
        <v>1</v>
      </c>
    </row>
    <row r="25" spans="1:16" ht="15" customHeight="1">
      <c r="A25" s="3" t="s">
        <v>48</v>
      </c>
      <c r="B25" s="3" t="s">
        <v>17</v>
      </c>
      <c r="C25" s="3">
        <v>18</v>
      </c>
      <c r="D25" s="3" t="s">
        <v>18</v>
      </c>
      <c r="E25" s="3" t="s">
        <v>31</v>
      </c>
      <c r="F25" s="3" t="s">
        <v>31</v>
      </c>
      <c r="G25" s="3" t="s">
        <v>21</v>
      </c>
      <c r="H25" s="3" t="s">
        <v>21</v>
      </c>
      <c r="I25" s="3" t="s">
        <v>21</v>
      </c>
      <c r="J25" s="3" t="s">
        <v>22</v>
      </c>
      <c r="K25" s="3" t="s">
        <v>21</v>
      </c>
      <c r="L25" s="3">
        <v>1</v>
      </c>
      <c r="M25" s="3">
        <v>3</v>
      </c>
      <c r="N25" s="3">
        <v>14</v>
      </c>
      <c r="O25" s="3">
        <v>4</v>
      </c>
      <c r="P25" s="3" t="b">
        <f>TRUE()</f>
        <v>1</v>
      </c>
    </row>
    <row r="26" spans="1:16" ht="15" customHeight="1">
      <c r="A26" s="3" t="s">
        <v>49</v>
      </c>
      <c r="B26" s="3" t="s">
        <v>17</v>
      </c>
      <c r="C26" s="3">
        <v>19</v>
      </c>
      <c r="D26" s="3" t="s">
        <v>18</v>
      </c>
      <c r="E26" s="3"/>
      <c r="F26" s="3" t="s">
        <v>31</v>
      </c>
      <c r="G26" s="3" t="s">
        <v>22</v>
      </c>
      <c r="H26" s="3" t="s">
        <v>22</v>
      </c>
      <c r="I26" s="3" t="s">
        <v>21</v>
      </c>
      <c r="J26" s="3" t="s">
        <v>22</v>
      </c>
      <c r="K26" s="3" t="s">
        <v>21</v>
      </c>
      <c r="L26" s="3">
        <v>1</v>
      </c>
      <c r="M26" s="3">
        <v>0</v>
      </c>
      <c r="N26" s="3">
        <v>6</v>
      </c>
      <c r="O26" s="3">
        <v>10</v>
      </c>
      <c r="P26" s="3" t="b">
        <f>FALSE()</f>
        <v>0</v>
      </c>
    </row>
    <row r="27" spans="1:16" ht="15" customHeight="1">
      <c r="A27" s="3" t="s">
        <v>50</v>
      </c>
      <c r="B27" s="3" t="s">
        <v>24</v>
      </c>
      <c r="C27" s="3">
        <v>16</v>
      </c>
      <c r="D27" s="3" t="s">
        <v>18</v>
      </c>
      <c r="E27" s="3" t="s">
        <v>31</v>
      </c>
      <c r="F27" s="3" t="s">
        <v>19</v>
      </c>
      <c r="G27" s="3" t="s">
        <v>21</v>
      </c>
      <c r="H27" s="3" t="s">
        <v>22</v>
      </c>
      <c r="I27" s="3" t="s">
        <v>21</v>
      </c>
      <c r="J27" s="3" t="s">
        <v>21</v>
      </c>
      <c r="K27" s="3" t="s">
        <v>21</v>
      </c>
      <c r="L27" s="3">
        <v>1</v>
      </c>
      <c r="M27" s="3">
        <v>0</v>
      </c>
      <c r="N27" s="3">
        <v>5</v>
      </c>
      <c r="O27" s="3">
        <v>12</v>
      </c>
      <c r="P27" s="3" t="b">
        <f>FALSE()</f>
        <v>0</v>
      </c>
    </row>
    <row r="28" spans="1:16" ht="15" customHeight="1">
      <c r="A28" s="3" t="s">
        <v>51</v>
      </c>
      <c r="B28" s="3" t="s">
        <v>24</v>
      </c>
      <c r="C28" s="3">
        <v>17</v>
      </c>
      <c r="D28" s="3" t="s">
        <v>18</v>
      </c>
      <c r="E28" s="3" t="s">
        <v>20</v>
      </c>
      <c r="F28" s="3" t="s">
        <v>20</v>
      </c>
      <c r="G28" s="3" t="s">
        <v>21</v>
      </c>
      <c r="H28" s="3" t="s">
        <v>22</v>
      </c>
      <c r="I28" s="3" t="s">
        <v>21</v>
      </c>
      <c r="J28" s="3" t="s">
        <v>22</v>
      </c>
      <c r="K28" s="3" t="s">
        <v>21</v>
      </c>
      <c r="L28" s="3">
        <v>1</v>
      </c>
      <c r="M28" s="3">
        <v>2</v>
      </c>
      <c r="N28" s="3">
        <v>8</v>
      </c>
      <c r="O28" s="3">
        <v>10</v>
      </c>
      <c r="P28" s="3" t="b">
        <f>TRUE()</f>
        <v>1</v>
      </c>
    </row>
    <row r="29" spans="1:16" ht="15" customHeight="1">
      <c r="A29" s="3" t="s">
        <v>52</v>
      </c>
      <c r="B29" s="3" t="s">
        <v>24</v>
      </c>
      <c r="C29" s="3">
        <v>17</v>
      </c>
      <c r="D29" s="3" t="s">
        <v>18</v>
      </c>
      <c r="E29" s="3" t="s">
        <v>19</v>
      </c>
      <c r="F29" s="3" t="s">
        <v>20</v>
      </c>
      <c r="G29" s="3" t="s">
        <v>22</v>
      </c>
      <c r="H29" s="3" t="s">
        <v>22</v>
      </c>
      <c r="I29" s="3" t="s">
        <v>22</v>
      </c>
      <c r="J29" s="3" t="s">
        <v>21</v>
      </c>
      <c r="K29" s="3" t="s">
        <v>21</v>
      </c>
      <c r="L29" s="3">
        <v>2</v>
      </c>
      <c r="M29" s="3">
        <v>0</v>
      </c>
      <c r="N29" s="3">
        <v>5</v>
      </c>
      <c r="O29" s="3">
        <v>9</v>
      </c>
      <c r="P29" s="3" t="b">
        <f>FALSE()</f>
        <v>0</v>
      </c>
    </row>
    <row r="30" spans="1:16" ht="15" customHeight="1">
      <c r="A30" s="3" t="s">
        <v>53</v>
      </c>
      <c r="B30" s="3" t="s">
        <v>24</v>
      </c>
      <c r="C30" s="3">
        <v>19</v>
      </c>
      <c r="D30" s="3" t="s">
        <v>18</v>
      </c>
      <c r="E30" s="3" t="s">
        <v>31</v>
      </c>
      <c r="F30" s="3" t="s">
        <v>20</v>
      </c>
      <c r="G30" s="3" t="s">
        <v>21</v>
      </c>
      <c r="H30" s="3" t="s">
        <v>22</v>
      </c>
      <c r="I30" s="3" t="s">
        <v>22</v>
      </c>
      <c r="J30" s="3" t="s">
        <v>22</v>
      </c>
      <c r="K30" s="3" t="s">
        <v>21</v>
      </c>
      <c r="L30" s="3">
        <v>2</v>
      </c>
      <c r="M30" s="3">
        <v>0</v>
      </c>
      <c r="N30" s="3">
        <v>4</v>
      </c>
      <c r="O30" s="3">
        <v>10</v>
      </c>
      <c r="P30" s="3" t="b">
        <f>FALSE()</f>
        <v>0</v>
      </c>
    </row>
    <row r="31" spans="1:16" ht="15" customHeight="1">
      <c r="A31" s="3" t="s">
        <v>54</v>
      </c>
      <c r="B31" s="3" t="s">
        <v>17</v>
      </c>
      <c r="C31" s="3">
        <v>17</v>
      </c>
      <c r="D31" s="3" t="s">
        <v>18</v>
      </c>
      <c r="E31" s="3" t="s">
        <v>31</v>
      </c>
      <c r="F31" s="3" t="s">
        <v>19</v>
      </c>
      <c r="G31" s="3" t="s">
        <v>21</v>
      </c>
      <c r="H31" s="3" t="s">
        <v>22</v>
      </c>
      <c r="I31" s="3" t="s">
        <v>21</v>
      </c>
      <c r="J31" s="3" t="s">
        <v>22</v>
      </c>
      <c r="K31" s="3" t="s">
        <v>22</v>
      </c>
      <c r="L31" s="3">
        <v>1</v>
      </c>
      <c r="M31" s="3">
        <v>0</v>
      </c>
      <c r="N31" s="3">
        <v>7</v>
      </c>
      <c r="O31" s="3">
        <v>10</v>
      </c>
      <c r="P31" s="3" t="b">
        <f>FALSE()</f>
        <v>0</v>
      </c>
    </row>
    <row r="32" spans="1:16" ht="15" customHeight="1">
      <c r="A32" s="3" t="s">
        <v>55</v>
      </c>
      <c r="B32" s="3" t="s">
        <v>17</v>
      </c>
      <c r="C32" s="3">
        <v>20</v>
      </c>
      <c r="D32" s="3" t="s">
        <v>18</v>
      </c>
      <c r="E32" s="3" t="s">
        <v>19</v>
      </c>
      <c r="F32" s="3" t="s">
        <v>19</v>
      </c>
      <c r="G32" s="3" t="s">
        <v>21</v>
      </c>
      <c r="H32" s="3" t="s">
        <v>22</v>
      </c>
      <c r="I32" s="3" t="s">
        <v>22</v>
      </c>
      <c r="J32" s="3" t="s">
        <v>21</v>
      </c>
      <c r="K32" s="3" t="s">
        <v>21</v>
      </c>
      <c r="L32" s="3">
        <v>1</v>
      </c>
      <c r="M32" s="3">
        <v>2</v>
      </c>
      <c r="N32" s="3">
        <v>12</v>
      </c>
      <c r="O32" s="3">
        <v>6</v>
      </c>
      <c r="P32" s="3" t="b">
        <f>TRUE()</f>
        <v>1</v>
      </c>
    </row>
    <row r="33" spans="1:16" ht="15" customHeight="1">
      <c r="A33" s="3" t="s">
        <v>56</v>
      </c>
      <c r="B33" s="3" t="s">
        <v>17</v>
      </c>
      <c r="C33" s="3">
        <v>17</v>
      </c>
      <c r="D33" s="3" t="s">
        <v>18</v>
      </c>
      <c r="E33" s="3" t="s">
        <v>31</v>
      </c>
      <c r="F33" s="3" t="s">
        <v>31</v>
      </c>
      <c r="G33" s="3" t="s">
        <v>21</v>
      </c>
      <c r="H33" s="3" t="s">
        <v>22</v>
      </c>
      <c r="I33" s="3" t="s">
        <v>21</v>
      </c>
      <c r="J33" s="3" t="s">
        <v>21</v>
      </c>
      <c r="K33" s="3" t="s">
        <v>21</v>
      </c>
      <c r="L33" s="3">
        <v>1</v>
      </c>
      <c r="M33" s="3">
        <v>0</v>
      </c>
      <c r="N33" s="3">
        <v>4</v>
      </c>
      <c r="O33" s="3">
        <v>14</v>
      </c>
      <c r="P33" s="3" t="b">
        <f>FALSE()</f>
        <v>0</v>
      </c>
    </row>
    <row r="34" spans="1:16" ht="15" customHeight="1">
      <c r="A34" s="3" t="s">
        <v>57</v>
      </c>
      <c r="B34" s="3" t="s">
        <v>24</v>
      </c>
      <c r="C34" s="3">
        <v>18</v>
      </c>
      <c r="D34" s="3" t="s">
        <v>18</v>
      </c>
      <c r="E34" s="3" t="s">
        <v>20</v>
      </c>
      <c r="F34" s="3" t="s">
        <v>31</v>
      </c>
      <c r="G34" s="3" t="s">
        <v>21</v>
      </c>
      <c r="H34" s="3" t="s">
        <v>22</v>
      </c>
      <c r="I34" s="3" t="s">
        <v>22</v>
      </c>
      <c r="J34" s="3" t="s">
        <v>21</v>
      </c>
      <c r="K34" s="3" t="s">
        <v>21</v>
      </c>
      <c r="L34" s="3">
        <v>2</v>
      </c>
      <c r="M34" s="3">
        <v>0</v>
      </c>
      <c r="N34" s="3">
        <v>4</v>
      </c>
      <c r="O34" s="3">
        <v>14</v>
      </c>
      <c r="P34" s="3" t="b">
        <f>FALSE()</f>
        <v>0</v>
      </c>
    </row>
    <row r="35" spans="1:16" ht="15" customHeight="1">
      <c r="A35" s="3" t="s">
        <v>58</v>
      </c>
      <c r="B35" s="3" t="s">
        <v>24</v>
      </c>
      <c r="C35" s="3">
        <v>18</v>
      </c>
      <c r="D35" s="3" t="s">
        <v>18</v>
      </c>
      <c r="E35" s="3" t="s">
        <v>20</v>
      </c>
      <c r="F35" s="3" t="s">
        <v>31</v>
      </c>
      <c r="G35" s="3" t="s">
        <v>22</v>
      </c>
      <c r="H35" s="3" t="s">
        <v>21</v>
      </c>
      <c r="I35" s="3" t="s">
        <v>21</v>
      </c>
      <c r="J35" s="3" t="s">
        <v>22</v>
      </c>
      <c r="K35" s="3" t="s">
        <v>21</v>
      </c>
      <c r="L35" s="3">
        <v>2</v>
      </c>
      <c r="M35" s="3">
        <v>0</v>
      </c>
      <c r="N35" s="3">
        <v>5</v>
      </c>
      <c r="O35" s="3">
        <v>16</v>
      </c>
      <c r="P35" s="3" t="b">
        <f>FALSE()</f>
        <v>0</v>
      </c>
    </row>
    <row r="36" spans="1:16" ht="15" customHeight="1">
      <c r="A36" s="3" t="s">
        <v>59</v>
      </c>
      <c r="B36" s="3" t="s">
        <v>24</v>
      </c>
      <c r="C36" s="3">
        <v>16</v>
      </c>
      <c r="D36" s="3" t="s">
        <v>18</v>
      </c>
      <c r="E36" s="3" t="s">
        <v>31</v>
      </c>
      <c r="F36" s="3" t="s">
        <v>31</v>
      </c>
      <c r="G36" s="3" t="s">
        <v>22</v>
      </c>
      <c r="H36" s="3" t="s">
        <v>21</v>
      </c>
      <c r="I36" s="3" t="s">
        <v>21</v>
      </c>
      <c r="J36" s="3" t="s">
        <v>21</v>
      </c>
      <c r="K36" s="3" t="s">
        <v>21</v>
      </c>
      <c r="L36" s="3">
        <v>2</v>
      </c>
      <c r="M36" s="3">
        <v>0</v>
      </c>
      <c r="N36" s="3">
        <v>4</v>
      </c>
      <c r="O36" s="3">
        <v>10</v>
      </c>
      <c r="P36" s="3" t="b">
        <f>FALSE()</f>
        <v>0</v>
      </c>
    </row>
    <row r="37" spans="1:16" ht="15" customHeight="1">
      <c r="A37" s="3" t="s">
        <v>60</v>
      </c>
      <c r="B37" s="3" t="s">
        <v>24</v>
      </c>
      <c r="C37" s="3">
        <v>20</v>
      </c>
      <c r="D37" s="3" t="s">
        <v>18</v>
      </c>
      <c r="E37" s="3" t="s">
        <v>20</v>
      </c>
      <c r="F37" s="3" t="s">
        <v>20</v>
      </c>
      <c r="G37" s="3" t="s">
        <v>21</v>
      </c>
      <c r="H37" s="3" t="s">
        <v>21</v>
      </c>
      <c r="I37" s="3" t="s">
        <v>22</v>
      </c>
      <c r="J37" s="3" t="s">
        <v>21</v>
      </c>
      <c r="K37" s="3" t="s">
        <v>21</v>
      </c>
      <c r="L37" s="3">
        <v>1</v>
      </c>
      <c r="M37" s="3">
        <v>0</v>
      </c>
      <c r="N37" s="3">
        <v>3</v>
      </c>
      <c r="O37" s="3">
        <v>15</v>
      </c>
      <c r="P37" s="3" t="b">
        <f>FALSE()</f>
        <v>0</v>
      </c>
    </row>
    <row r="38" spans="1:16" ht="15" customHeight="1">
      <c r="A38" s="3" t="s">
        <v>61</v>
      </c>
      <c r="B38" s="3" t="s">
        <v>24</v>
      </c>
      <c r="C38" s="3">
        <v>16</v>
      </c>
      <c r="D38" s="3" t="s">
        <v>18</v>
      </c>
      <c r="E38" s="3" t="s">
        <v>31</v>
      </c>
      <c r="F38" s="3" t="s">
        <v>31</v>
      </c>
      <c r="G38" s="3" t="s">
        <v>21</v>
      </c>
      <c r="H38" s="3" t="s">
        <v>22</v>
      </c>
      <c r="I38" s="3" t="s">
        <v>21</v>
      </c>
      <c r="J38" s="3" t="s">
        <v>22</v>
      </c>
      <c r="K38" s="3" t="s">
        <v>21</v>
      </c>
      <c r="L38" s="3">
        <v>1</v>
      </c>
      <c r="M38" s="3">
        <v>1</v>
      </c>
      <c r="N38" s="3">
        <v>6</v>
      </c>
      <c r="O38" s="3">
        <v>9</v>
      </c>
      <c r="P38" s="3" t="b">
        <f>FALSE()</f>
        <v>0</v>
      </c>
    </row>
    <row r="39" spans="1:16" ht="15" customHeight="1">
      <c r="A39" s="3" t="s">
        <v>62</v>
      </c>
      <c r="B39" s="3" t="s">
        <v>24</v>
      </c>
      <c r="C39" s="3">
        <v>17</v>
      </c>
      <c r="D39" s="3" t="s">
        <v>18</v>
      </c>
      <c r="E39" s="3" t="s">
        <v>20</v>
      </c>
      <c r="F39" s="3" t="s">
        <v>31</v>
      </c>
      <c r="G39" s="3" t="s">
        <v>21</v>
      </c>
      <c r="H39" s="3" t="s">
        <v>22</v>
      </c>
      <c r="I39" s="3" t="s">
        <v>22</v>
      </c>
      <c r="J39" s="3" t="s">
        <v>22</v>
      </c>
      <c r="K39" s="3" t="s">
        <v>21</v>
      </c>
      <c r="L39" s="3">
        <v>4</v>
      </c>
      <c r="M39" s="3">
        <v>2</v>
      </c>
      <c r="N39" s="3">
        <v>20</v>
      </c>
      <c r="O39" s="3">
        <v>9</v>
      </c>
      <c r="P39" s="3" t="b">
        <f>TRUE()</f>
        <v>1</v>
      </c>
    </row>
    <row r="40" spans="1:16" ht="15" customHeight="1">
      <c r="A40" s="3" t="s">
        <v>63</v>
      </c>
      <c r="B40" s="3" t="s">
        <v>24</v>
      </c>
      <c r="C40" s="3">
        <v>21</v>
      </c>
      <c r="D40" s="3" t="s">
        <v>18</v>
      </c>
      <c r="E40" s="3" t="s">
        <v>31</v>
      </c>
      <c r="F40" s="3" t="s">
        <v>20</v>
      </c>
      <c r="G40" s="3" t="s">
        <v>22</v>
      </c>
      <c r="H40" s="3" t="s">
        <v>22</v>
      </c>
      <c r="I40" s="3" t="s">
        <v>22</v>
      </c>
      <c r="J40" s="3" t="s">
        <v>21</v>
      </c>
      <c r="K40" s="3" t="s">
        <v>21</v>
      </c>
      <c r="L40" s="3">
        <v>1</v>
      </c>
      <c r="M40" s="3">
        <v>0</v>
      </c>
      <c r="N40" s="3">
        <v>12</v>
      </c>
      <c r="O40" s="3">
        <v>7</v>
      </c>
      <c r="P40" s="3" t="b">
        <f>FALSE()</f>
        <v>0</v>
      </c>
    </row>
    <row r="41" spans="1:16" ht="15" customHeight="1">
      <c r="A41" s="3" t="s">
        <v>64</v>
      </c>
      <c r="B41" s="3" t="s">
        <v>17</v>
      </c>
      <c r="C41" s="3">
        <v>22</v>
      </c>
      <c r="D41" s="3" t="s">
        <v>18</v>
      </c>
      <c r="E41" s="3" t="s">
        <v>20</v>
      </c>
      <c r="F41" s="3" t="s">
        <v>20</v>
      </c>
      <c r="G41" s="3" t="s">
        <v>21</v>
      </c>
      <c r="H41" s="3" t="s">
        <v>22</v>
      </c>
      <c r="I41" s="3" t="s">
        <v>21</v>
      </c>
      <c r="J41" s="3" t="s">
        <v>21</v>
      </c>
      <c r="K41" s="3" t="s">
        <v>21</v>
      </c>
      <c r="L41" s="3">
        <v>1</v>
      </c>
      <c r="M41" s="3">
        <v>0</v>
      </c>
      <c r="N41" s="3">
        <v>7</v>
      </c>
      <c r="O41" s="3">
        <v>12</v>
      </c>
      <c r="P41" s="3" t="b">
        <f>FALSE()</f>
        <v>0</v>
      </c>
    </row>
    <row r="42" spans="1:16" ht="15" customHeight="1">
      <c r="A42" s="3" t="s">
        <v>65</v>
      </c>
      <c r="B42" s="3" t="s">
        <v>24</v>
      </c>
      <c r="C42" s="3">
        <v>20</v>
      </c>
      <c r="D42" s="3" t="s">
        <v>25</v>
      </c>
      <c r="E42" s="3" t="s">
        <v>19</v>
      </c>
      <c r="F42" s="3" t="s">
        <v>19</v>
      </c>
      <c r="G42" s="3" t="s">
        <v>22</v>
      </c>
      <c r="H42" s="3" t="s">
        <v>22</v>
      </c>
      <c r="I42" s="3" t="s">
        <v>21</v>
      </c>
      <c r="J42" s="3" t="s">
        <v>22</v>
      </c>
      <c r="K42" s="3" t="s">
        <v>21</v>
      </c>
      <c r="L42" s="3">
        <v>1</v>
      </c>
      <c r="M42" s="3">
        <v>0</v>
      </c>
      <c r="N42" s="3">
        <v>5</v>
      </c>
      <c r="O42" s="3">
        <v>12</v>
      </c>
      <c r="P42" s="3" t="b">
        <f>FALSE()</f>
        <v>0</v>
      </c>
    </row>
    <row r="43" spans="1:16" ht="15" customHeight="1">
      <c r="A43" s="3" t="s">
        <v>66</v>
      </c>
      <c r="B43" s="3" t="s">
        <v>17</v>
      </c>
      <c r="C43" s="3">
        <v>22</v>
      </c>
      <c r="D43" s="3" t="s">
        <v>18</v>
      </c>
      <c r="E43" s="3" t="s">
        <v>20</v>
      </c>
      <c r="F43" s="3" t="s">
        <v>20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>
        <v>4</v>
      </c>
      <c r="M43" s="3">
        <v>0</v>
      </c>
      <c r="N43" s="3">
        <v>6</v>
      </c>
      <c r="O43" s="3">
        <v>16</v>
      </c>
      <c r="P43" s="3" t="b">
        <f>FALSE()</f>
        <v>0</v>
      </c>
    </row>
    <row r="44" spans="1:16" ht="15" customHeight="1">
      <c r="A44" s="3" t="s">
        <v>67</v>
      </c>
      <c r="B44" s="3" t="s">
        <v>17</v>
      </c>
      <c r="C44" s="3">
        <v>21</v>
      </c>
      <c r="D44" s="3" t="s">
        <v>18</v>
      </c>
      <c r="E44" s="3" t="s">
        <v>20</v>
      </c>
      <c r="F44" s="3" t="s">
        <v>19</v>
      </c>
      <c r="G44" s="3" t="s">
        <v>21</v>
      </c>
      <c r="H44" s="3" t="s">
        <v>21</v>
      </c>
      <c r="I44" s="3" t="s">
        <v>21</v>
      </c>
      <c r="J44" s="3" t="s">
        <v>22</v>
      </c>
      <c r="K44" s="3" t="s">
        <v>21</v>
      </c>
      <c r="L44" s="3">
        <v>2</v>
      </c>
      <c r="M44" s="3">
        <v>0</v>
      </c>
      <c r="N44" s="3">
        <v>5</v>
      </c>
      <c r="O44" s="3">
        <v>11</v>
      </c>
      <c r="P44" s="3" t="b">
        <f>FALSE()</f>
        <v>0</v>
      </c>
    </row>
    <row r="45" spans="1:16" ht="15" customHeight="1">
      <c r="A45" s="3" t="s">
        <v>68</v>
      </c>
      <c r="B45" s="3" t="s">
        <v>24</v>
      </c>
      <c r="C45" s="3">
        <v>18</v>
      </c>
      <c r="D45" s="3" t="s">
        <v>18</v>
      </c>
      <c r="E45" s="3" t="s">
        <v>19</v>
      </c>
      <c r="F45" s="3" t="s">
        <v>19</v>
      </c>
      <c r="G45" s="3" t="s">
        <v>21</v>
      </c>
      <c r="H45" s="3" t="s">
        <v>22</v>
      </c>
      <c r="I45" s="3" t="s">
        <v>21</v>
      </c>
      <c r="J45" s="3" t="s">
        <v>21</v>
      </c>
      <c r="K45" s="3" t="s">
        <v>21</v>
      </c>
      <c r="L45" s="3">
        <v>2</v>
      </c>
      <c r="M45" s="3">
        <v>1</v>
      </c>
      <c r="N45" s="3">
        <v>10</v>
      </c>
      <c r="O45" s="3">
        <v>10</v>
      </c>
      <c r="P45" s="3" t="b">
        <f>FALSE()</f>
        <v>0</v>
      </c>
    </row>
    <row r="46" spans="1:16" ht="15" customHeight="1">
      <c r="A46" s="3" t="s">
        <v>69</v>
      </c>
      <c r="B46" s="3" t="s">
        <v>17</v>
      </c>
      <c r="C46" s="3">
        <v>21</v>
      </c>
      <c r="D46" s="3" t="s">
        <v>25</v>
      </c>
      <c r="E46" s="3"/>
      <c r="F46" s="3" t="s">
        <v>20</v>
      </c>
      <c r="G46" s="3" t="s">
        <v>22</v>
      </c>
      <c r="H46" s="3" t="s">
        <v>22</v>
      </c>
      <c r="I46" s="3" t="s">
        <v>21</v>
      </c>
      <c r="J46" s="3" t="s">
        <v>21</v>
      </c>
      <c r="K46" s="3" t="s">
        <v>21</v>
      </c>
      <c r="L46" s="3">
        <v>4</v>
      </c>
      <c r="M46" s="3">
        <v>0</v>
      </c>
      <c r="N46" s="3">
        <v>7</v>
      </c>
      <c r="O46" s="3">
        <v>13</v>
      </c>
      <c r="P46" s="3" t="b">
        <f>FALSE()</f>
        <v>0</v>
      </c>
    </row>
    <row r="47" spans="1:16" ht="15" customHeight="1">
      <c r="A47" s="3" t="s">
        <v>70</v>
      </c>
      <c r="B47" s="3" t="s">
        <v>17</v>
      </c>
      <c r="C47" s="3">
        <v>17</v>
      </c>
      <c r="D47" s="3" t="s">
        <v>18</v>
      </c>
      <c r="E47" s="3" t="s">
        <v>20</v>
      </c>
      <c r="F47" s="3" t="s">
        <v>20</v>
      </c>
      <c r="G47" s="3" t="s">
        <v>21</v>
      </c>
      <c r="H47" s="3" t="s">
        <v>22</v>
      </c>
      <c r="I47" s="3" t="s">
        <v>22</v>
      </c>
      <c r="J47" s="3" t="s">
        <v>21</v>
      </c>
      <c r="K47" s="3" t="s">
        <v>22</v>
      </c>
      <c r="L47" s="3">
        <v>1</v>
      </c>
      <c r="M47" s="3">
        <v>0</v>
      </c>
      <c r="N47" s="3">
        <v>9</v>
      </c>
      <c r="O47" s="3">
        <v>12</v>
      </c>
      <c r="P47" s="3" t="b">
        <f>TRUE()</f>
        <v>1</v>
      </c>
    </row>
    <row r="48" spans="1:16" ht="15" customHeight="1">
      <c r="A48" s="3" t="s">
        <v>71</v>
      </c>
      <c r="B48" s="3" t="s">
        <v>24</v>
      </c>
      <c r="C48" s="3">
        <v>18</v>
      </c>
      <c r="D48" s="3" t="s">
        <v>18</v>
      </c>
      <c r="E48" s="3"/>
      <c r="F48" s="3" t="s">
        <v>19</v>
      </c>
      <c r="G48" s="3" t="s">
        <v>21</v>
      </c>
      <c r="H48" s="3" t="s">
        <v>21</v>
      </c>
      <c r="I48" s="3" t="s">
        <v>21</v>
      </c>
      <c r="J48" s="3" t="s">
        <v>22</v>
      </c>
      <c r="K48" s="3" t="s">
        <v>21</v>
      </c>
      <c r="L48" s="3">
        <v>4</v>
      </c>
      <c r="M48" s="3">
        <v>0</v>
      </c>
      <c r="N48" s="3">
        <v>2</v>
      </c>
      <c r="O48" s="3">
        <v>18</v>
      </c>
      <c r="P48" s="3" t="b">
        <f>FALSE()</f>
        <v>0</v>
      </c>
    </row>
    <row r="49" spans="1:16" ht="15" customHeight="1">
      <c r="A49" s="3" t="s">
        <v>72</v>
      </c>
      <c r="B49" s="3" t="s">
        <v>24</v>
      </c>
      <c r="C49" s="3">
        <v>19</v>
      </c>
      <c r="D49" s="3" t="s">
        <v>18</v>
      </c>
      <c r="E49" s="3" t="s">
        <v>19</v>
      </c>
      <c r="F49" s="3" t="s">
        <v>31</v>
      </c>
      <c r="G49" s="3" t="s">
        <v>22</v>
      </c>
      <c r="H49" s="3" t="s">
        <v>22</v>
      </c>
      <c r="I49" s="3" t="s">
        <v>21</v>
      </c>
      <c r="J49" s="3" t="s">
        <v>21</v>
      </c>
      <c r="K49" s="3" t="s">
        <v>21</v>
      </c>
      <c r="L49" s="3">
        <v>1</v>
      </c>
      <c r="M49" s="3">
        <v>0</v>
      </c>
      <c r="N49" s="3">
        <v>6</v>
      </c>
      <c r="O49" s="3">
        <v>14</v>
      </c>
      <c r="P49" s="3" t="b">
        <f>FALSE()</f>
        <v>0</v>
      </c>
    </row>
    <row r="50" spans="1:16" ht="15" customHeight="1">
      <c r="A50" s="3" t="s">
        <v>73</v>
      </c>
      <c r="B50" s="3" t="s">
        <v>17</v>
      </c>
      <c r="C50" s="3">
        <v>22</v>
      </c>
      <c r="D50" s="3" t="s">
        <v>18</v>
      </c>
      <c r="E50" s="3" t="s">
        <v>31</v>
      </c>
      <c r="F50" s="3" t="s">
        <v>31</v>
      </c>
      <c r="G50" s="3" t="s">
        <v>21</v>
      </c>
      <c r="H50" s="3" t="s">
        <v>22</v>
      </c>
      <c r="I50" s="3" t="s">
        <v>22</v>
      </c>
      <c r="J50" s="3" t="s">
        <v>21</v>
      </c>
      <c r="K50" s="3" t="s">
        <v>22</v>
      </c>
      <c r="L50" s="3">
        <v>2</v>
      </c>
      <c r="M50" s="3">
        <v>0</v>
      </c>
      <c r="N50" s="3">
        <v>3</v>
      </c>
      <c r="O50" s="3">
        <v>12</v>
      </c>
      <c r="P50" s="3" t="b">
        <f>FALSE()</f>
        <v>0</v>
      </c>
    </row>
    <row r="51" spans="1:16" ht="15" customHeight="1">
      <c r="A51" s="3" t="s">
        <v>74</v>
      </c>
      <c r="B51" s="3" t="s">
        <v>24</v>
      </c>
      <c r="C51" s="3">
        <v>21</v>
      </c>
      <c r="D51" s="3" t="s">
        <v>18</v>
      </c>
      <c r="E51" s="3" t="s">
        <v>31</v>
      </c>
      <c r="F51" s="3" t="s">
        <v>19</v>
      </c>
      <c r="G51" s="3" t="s">
        <v>21</v>
      </c>
      <c r="H51" s="3" t="s">
        <v>22</v>
      </c>
      <c r="I51" s="3" t="s">
        <v>21</v>
      </c>
      <c r="J51" s="3" t="s">
        <v>22</v>
      </c>
      <c r="K51" s="3" t="s">
        <v>22</v>
      </c>
      <c r="L51" s="3">
        <v>2</v>
      </c>
      <c r="M51" s="3">
        <v>2</v>
      </c>
      <c r="N51" s="3">
        <v>11</v>
      </c>
      <c r="O51" s="3">
        <v>10</v>
      </c>
      <c r="P51" s="3" t="b">
        <f>FALSE()</f>
        <v>0</v>
      </c>
    </row>
    <row r="52" spans="1:16" ht="15" customHeight="1">
      <c r="A52" s="3" t="s">
        <v>75</v>
      </c>
      <c r="B52" s="3" t="s">
        <v>24</v>
      </c>
      <c r="C52" s="3">
        <v>18</v>
      </c>
      <c r="D52" s="3" t="s">
        <v>25</v>
      </c>
      <c r="E52" s="3" t="s">
        <v>31</v>
      </c>
      <c r="F52" s="3"/>
      <c r="G52" s="3" t="s">
        <v>21</v>
      </c>
      <c r="H52" s="3" t="s">
        <v>22</v>
      </c>
      <c r="I52" s="3" t="s">
        <v>22</v>
      </c>
      <c r="J52" s="3" t="s">
        <v>22</v>
      </c>
      <c r="K52" s="3" t="s">
        <v>21</v>
      </c>
      <c r="L52" s="3">
        <v>2</v>
      </c>
      <c r="M52" s="3">
        <v>1</v>
      </c>
      <c r="N52" s="3">
        <v>6</v>
      </c>
      <c r="O52" s="3">
        <v>13</v>
      </c>
      <c r="P52" s="3" t="b">
        <f>TRUE()</f>
        <v>1</v>
      </c>
    </row>
    <row r="53" spans="1:16" ht="15" customHeight="1">
      <c r="A53" s="3" t="s">
        <v>76</v>
      </c>
      <c r="B53" s="3" t="s">
        <v>24</v>
      </c>
      <c r="C53" s="3">
        <v>20</v>
      </c>
      <c r="D53" s="3" t="s">
        <v>25</v>
      </c>
      <c r="E53" s="3" t="s">
        <v>20</v>
      </c>
      <c r="F53" s="3" t="s">
        <v>19</v>
      </c>
      <c r="G53" s="3" t="s">
        <v>21</v>
      </c>
      <c r="H53" s="3" t="s">
        <v>22</v>
      </c>
      <c r="I53" s="3" t="s">
        <v>21</v>
      </c>
      <c r="J53" s="3" t="s">
        <v>22</v>
      </c>
      <c r="K53" s="3" t="s">
        <v>21</v>
      </c>
      <c r="L53" s="3">
        <v>4</v>
      </c>
      <c r="M53" s="3">
        <v>2</v>
      </c>
      <c r="N53" s="3">
        <v>11</v>
      </c>
      <c r="O53" s="3">
        <v>7</v>
      </c>
      <c r="P53" s="3" t="b">
        <f>TRUE()</f>
        <v>1</v>
      </c>
    </row>
    <row r="54" spans="1:16" ht="15" customHeight="1">
      <c r="A54" s="3" t="s">
        <v>77</v>
      </c>
      <c r="B54" s="3" t="s">
        <v>17</v>
      </c>
      <c r="C54" s="3">
        <v>16</v>
      </c>
      <c r="D54" s="3" t="s">
        <v>25</v>
      </c>
      <c r="E54" s="3" t="s">
        <v>31</v>
      </c>
      <c r="F54" s="3" t="s">
        <v>31</v>
      </c>
      <c r="G54" s="3" t="s">
        <v>22</v>
      </c>
      <c r="H54" s="3" t="s">
        <v>22</v>
      </c>
      <c r="I54" s="3" t="s">
        <v>22</v>
      </c>
      <c r="J54" s="3" t="s">
        <v>21</v>
      </c>
      <c r="K54" s="3" t="s">
        <v>21</v>
      </c>
      <c r="L54" s="3">
        <v>1</v>
      </c>
      <c r="M54" s="3">
        <v>2</v>
      </c>
      <c r="N54" s="3">
        <v>12</v>
      </c>
      <c r="O54" s="3">
        <v>6</v>
      </c>
      <c r="P54" s="3" t="b">
        <f>TRUE()</f>
        <v>1</v>
      </c>
    </row>
    <row r="55" spans="1:16" ht="15" customHeight="1">
      <c r="A55" s="3" t="s">
        <v>78</v>
      </c>
      <c r="B55" s="3" t="s">
        <v>17</v>
      </c>
      <c r="C55" s="3">
        <v>21</v>
      </c>
      <c r="D55" s="3" t="s">
        <v>18</v>
      </c>
      <c r="E55" s="3" t="s">
        <v>20</v>
      </c>
      <c r="F55" s="3" t="s">
        <v>31</v>
      </c>
      <c r="G55" s="3" t="s">
        <v>21</v>
      </c>
      <c r="H55" s="3" t="s">
        <v>22</v>
      </c>
      <c r="I55" s="3" t="s">
        <v>22</v>
      </c>
      <c r="J55" s="3" t="s">
        <v>21</v>
      </c>
      <c r="K55" s="3" t="s">
        <v>21</v>
      </c>
      <c r="L55" s="3">
        <v>4</v>
      </c>
      <c r="M55" s="3">
        <v>0</v>
      </c>
      <c r="N55" s="3">
        <v>5</v>
      </c>
      <c r="O55" s="3">
        <v>17</v>
      </c>
      <c r="P55" s="3" t="b">
        <f>FALSE()</f>
        <v>0</v>
      </c>
    </row>
    <row r="56" spans="1:16" ht="15" customHeight="1">
      <c r="A56" s="3" t="s">
        <v>79</v>
      </c>
      <c r="B56" s="3" t="s">
        <v>17</v>
      </c>
      <c r="C56" s="3">
        <v>19</v>
      </c>
      <c r="D56" s="3" t="s">
        <v>18</v>
      </c>
      <c r="E56" s="3" t="s">
        <v>19</v>
      </c>
      <c r="F56" s="3" t="s">
        <v>19</v>
      </c>
      <c r="G56" s="3" t="s">
        <v>21</v>
      </c>
      <c r="H56" s="3" t="s">
        <v>22</v>
      </c>
      <c r="I56" s="3" t="s">
        <v>21</v>
      </c>
      <c r="J56" s="3" t="s">
        <v>21</v>
      </c>
      <c r="K56" s="3" t="s">
        <v>21</v>
      </c>
      <c r="L56" s="3">
        <v>2</v>
      </c>
      <c r="M56" s="3">
        <v>2</v>
      </c>
      <c r="N56" s="3">
        <v>13</v>
      </c>
      <c r="O56" s="3">
        <v>7</v>
      </c>
      <c r="P56" s="3" t="b">
        <f>FALSE()</f>
        <v>0</v>
      </c>
    </row>
    <row r="57" spans="1:16" ht="15" customHeight="1">
      <c r="A57" s="3" t="s">
        <v>80</v>
      </c>
      <c r="B57" s="3" t="s">
        <v>17</v>
      </c>
      <c r="C57" s="3">
        <v>19</v>
      </c>
      <c r="D57" s="3" t="s">
        <v>25</v>
      </c>
      <c r="E57" s="3" t="s">
        <v>19</v>
      </c>
      <c r="F57" s="3" t="s">
        <v>31</v>
      </c>
      <c r="G57" s="3" t="s">
        <v>21</v>
      </c>
      <c r="H57" s="3" t="s">
        <v>22</v>
      </c>
      <c r="I57" s="3" t="s">
        <v>22</v>
      </c>
      <c r="J57" s="3" t="s">
        <v>21</v>
      </c>
      <c r="K57" s="3" t="s">
        <v>21</v>
      </c>
      <c r="L57" s="3">
        <v>2</v>
      </c>
      <c r="M57" s="3">
        <v>0</v>
      </c>
      <c r="N57" s="3">
        <v>6</v>
      </c>
      <c r="O57" s="3">
        <v>10</v>
      </c>
      <c r="P57" s="3" t="b">
        <f>FALSE()</f>
        <v>0</v>
      </c>
    </row>
    <row r="58" spans="1:16" ht="15" customHeight="1">
      <c r="A58" s="3" t="s">
        <v>81</v>
      </c>
      <c r="B58" s="3" t="s">
        <v>24</v>
      </c>
      <c r="C58" s="3">
        <v>21</v>
      </c>
      <c r="D58" s="3" t="s">
        <v>18</v>
      </c>
      <c r="E58" s="3" t="s">
        <v>20</v>
      </c>
      <c r="F58" s="3" t="s">
        <v>19</v>
      </c>
      <c r="G58" s="3" t="s">
        <v>22</v>
      </c>
      <c r="H58" s="3" t="s">
        <v>21</v>
      </c>
      <c r="I58" s="3" t="s">
        <v>21</v>
      </c>
      <c r="J58" s="3" t="s">
        <v>21</v>
      </c>
      <c r="K58" s="3" t="s">
        <v>21</v>
      </c>
      <c r="L58" s="3">
        <v>4</v>
      </c>
      <c r="M58" s="3">
        <v>0</v>
      </c>
      <c r="N58" s="3">
        <v>3</v>
      </c>
      <c r="O58" s="3">
        <v>18</v>
      </c>
      <c r="P58" s="3" t="b">
        <f>FALSE()</f>
        <v>0</v>
      </c>
    </row>
    <row r="59" spans="1:16" ht="15" customHeight="1">
      <c r="A59" s="3" t="s">
        <v>82</v>
      </c>
      <c r="B59" s="3" t="s">
        <v>17</v>
      </c>
      <c r="C59" s="3">
        <v>20</v>
      </c>
      <c r="D59" s="3" t="s">
        <v>25</v>
      </c>
      <c r="E59" s="3" t="s">
        <v>19</v>
      </c>
      <c r="F59" s="3" t="s">
        <v>20</v>
      </c>
      <c r="G59" s="3" t="s">
        <v>21</v>
      </c>
      <c r="H59" s="3" t="s">
        <v>22</v>
      </c>
      <c r="I59" s="3" t="s">
        <v>21</v>
      </c>
      <c r="J59" s="3" t="s">
        <v>21</v>
      </c>
      <c r="K59" s="3" t="s">
        <v>21</v>
      </c>
      <c r="L59" s="3">
        <v>1</v>
      </c>
      <c r="M59" s="3">
        <v>0</v>
      </c>
      <c r="N59" s="3">
        <v>8</v>
      </c>
      <c r="O59" s="3">
        <v>9</v>
      </c>
      <c r="P59" s="3" t="b">
        <f>FALSE()</f>
        <v>0</v>
      </c>
    </row>
    <row r="60" spans="1:16" ht="15" customHeight="1">
      <c r="A60" s="3" t="s">
        <v>83</v>
      </c>
      <c r="B60" s="3" t="s">
        <v>24</v>
      </c>
      <c r="C60" s="3">
        <v>15</v>
      </c>
      <c r="D60" s="3" t="s">
        <v>18</v>
      </c>
      <c r="E60" s="3" t="s">
        <v>20</v>
      </c>
      <c r="F60" s="3" t="s">
        <v>31</v>
      </c>
      <c r="G60" s="3" t="s">
        <v>22</v>
      </c>
      <c r="H60" s="3" t="s">
        <v>22</v>
      </c>
      <c r="I60" s="3" t="s">
        <v>21</v>
      </c>
      <c r="J60" s="3" t="s">
        <v>22</v>
      </c>
      <c r="K60" s="3" t="s">
        <v>21</v>
      </c>
      <c r="L60" s="3">
        <v>4</v>
      </c>
      <c r="M60" s="3">
        <v>0</v>
      </c>
      <c r="N60" s="3">
        <v>4</v>
      </c>
      <c r="O60" s="3">
        <v>15</v>
      </c>
      <c r="P60" s="3" t="b">
        <f>FALSE()</f>
        <v>0</v>
      </c>
    </row>
    <row r="61" spans="1:16" ht="15" customHeight="1">
      <c r="A61" s="3" t="s">
        <v>84</v>
      </c>
      <c r="B61" s="3" t="s">
        <v>24</v>
      </c>
      <c r="C61" s="3">
        <v>17</v>
      </c>
      <c r="D61" s="3" t="s">
        <v>18</v>
      </c>
      <c r="E61" s="3" t="s">
        <v>31</v>
      </c>
      <c r="F61" s="3" t="s">
        <v>19</v>
      </c>
      <c r="G61" s="3" t="s">
        <v>21</v>
      </c>
      <c r="H61" s="3" t="s">
        <v>21</v>
      </c>
      <c r="I61" s="3" t="s">
        <v>22</v>
      </c>
      <c r="J61" s="3" t="s">
        <v>22</v>
      </c>
      <c r="K61" s="3" t="s">
        <v>21</v>
      </c>
      <c r="L61" s="3">
        <v>2</v>
      </c>
      <c r="M61" s="3">
        <v>0</v>
      </c>
      <c r="N61" s="3">
        <v>0</v>
      </c>
      <c r="O61" s="3">
        <v>14</v>
      </c>
      <c r="P61" s="3" t="b">
        <f>FALSE()</f>
        <v>0</v>
      </c>
    </row>
    <row r="62" spans="1:16" ht="15" customHeight="1">
      <c r="A62" s="3" t="s">
        <v>85</v>
      </c>
      <c r="B62" s="3" t="s">
        <v>17</v>
      </c>
      <c r="C62" s="3">
        <v>16</v>
      </c>
      <c r="D62" s="3" t="s">
        <v>18</v>
      </c>
      <c r="E62" s="3"/>
      <c r="F62" s="3" t="s">
        <v>19</v>
      </c>
      <c r="G62" s="3" t="s">
        <v>22</v>
      </c>
      <c r="H62" s="3" t="s">
        <v>22</v>
      </c>
      <c r="I62" s="3" t="s">
        <v>21</v>
      </c>
      <c r="J62" s="3" t="s">
        <v>22</v>
      </c>
      <c r="K62" s="3" t="s">
        <v>22</v>
      </c>
      <c r="L62" s="3">
        <v>3</v>
      </c>
      <c r="M62" s="3">
        <v>0</v>
      </c>
      <c r="N62" s="3">
        <v>6</v>
      </c>
      <c r="O62" s="3">
        <v>15</v>
      </c>
      <c r="P62" s="3" t="b">
        <f>FALSE()</f>
        <v>0</v>
      </c>
    </row>
    <row r="63" spans="1:16" ht="15" customHeight="1">
      <c r="A63" s="3" t="s">
        <v>86</v>
      </c>
      <c r="B63" s="3" t="s">
        <v>24</v>
      </c>
      <c r="C63" s="3">
        <v>20</v>
      </c>
      <c r="D63" s="3" t="s">
        <v>25</v>
      </c>
      <c r="E63" s="3"/>
      <c r="F63" s="3" t="s">
        <v>20</v>
      </c>
      <c r="G63" s="3" t="s">
        <v>22</v>
      </c>
      <c r="H63" s="3" t="s">
        <v>22</v>
      </c>
      <c r="I63" s="3" t="s">
        <v>21</v>
      </c>
      <c r="J63" s="3" t="s">
        <v>21</v>
      </c>
      <c r="K63" s="3" t="s">
        <v>21</v>
      </c>
      <c r="L63" s="3">
        <v>1</v>
      </c>
      <c r="M63" s="3">
        <v>1</v>
      </c>
      <c r="N63" s="3">
        <v>8</v>
      </c>
      <c r="O63" s="3">
        <v>8</v>
      </c>
      <c r="P63" s="3" t="b">
        <f>FALSE()</f>
        <v>0</v>
      </c>
    </row>
    <row r="64" spans="1:16" ht="15" customHeight="1">
      <c r="A64" s="3" t="s">
        <v>87</v>
      </c>
      <c r="B64" s="3" t="s">
        <v>17</v>
      </c>
      <c r="C64" s="3">
        <v>15</v>
      </c>
      <c r="D64" s="3" t="s">
        <v>18</v>
      </c>
      <c r="E64" s="3" t="s">
        <v>31</v>
      </c>
      <c r="F64" s="3" t="s">
        <v>20</v>
      </c>
      <c r="G64" s="3" t="s">
        <v>22</v>
      </c>
      <c r="H64" s="3" t="s">
        <v>22</v>
      </c>
      <c r="I64" s="3" t="s">
        <v>21</v>
      </c>
      <c r="J64" s="3" t="s">
        <v>21</v>
      </c>
      <c r="K64" s="3" t="s">
        <v>21</v>
      </c>
      <c r="L64" s="3">
        <v>2</v>
      </c>
      <c r="M64" s="3">
        <v>1</v>
      </c>
      <c r="N64" s="3">
        <v>9</v>
      </c>
      <c r="O64" s="3">
        <v>9</v>
      </c>
      <c r="P64" s="3" t="b">
        <f>TRUE()</f>
        <v>1</v>
      </c>
    </row>
    <row r="65" spans="1:16" ht="15" customHeight="1">
      <c r="A65" s="3" t="s">
        <v>88</v>
      </c>
      <c r="B65" s="3" t="s">
        <v>17</v>
      </c>
      <c r="C65" s="3">
        <v>16</v>
      </c>
      <c r="D65" s="3" t="s">
        <v>18</v>
      </c>
      <c r="E65" s="3" t="s">
        <v>20</v>
      </c>
      <c r="F65" s="3" t="s">
        <v>31</v>
      </c>
      <c r="G65" s="3" t="s">
        <v>22</v>
      </c>
      <c r="H65" s="3" t="s">
        <v>22</v>
      </c>
      <c r="I65" s="3" t="s">
        <v>21</v>
      </c>
      <c r="J65" s="3" t="s">
        <v>21</v>
      </c>
      <c r="K65" s="3" t="s">
        <v>21</v>
      </c>
      <c r="L65" s="3">
        <v>2</v>
      </c>
      <c r="M65" s="3">
        <v>0</v>
      </c>
      <c r="N65" s="3">
        <v>6</v>
      </c>
      <c r="O65" s="3">
        <v>13</v>
      </c>
      <c r="P65" s="3" t="b">
        <f>FALSE()</f>
        <v>0</v>
      </c>
    </row>
    <row r="66" spans="1:16" ht="15" customHeight="1">
      <c r="A66" s="3" t="s">
        <v>89</v>
      </c>
      <c r="B66" s="3" t="s">
        <v>17</v>
      </c>
      <c r="C66" s="3">
        <v>19</v>
      </c>
      <c r="D66" s="3" t="s">
        <v>18</v>
      </c>
      <c r="E66" s="3" t="s">
        <v>19</v>
      </c>
      <c r="F66" s="3" t="s">
        <v>31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>
        <v>2</v>
      </c>
      <c r="M66" s="3">
        <v>0</v>
      </c>
      <c r="N66" s="3">
        <v>10</v>
      </c>
      <c r="O66" s="3">
        <v>15</v>
      </c>
      <c r="P66" s="3" t="b">
        <f>FALSE()</f>
        <v>0</v>
      </c>
    </row>
    <row r="67" spans="1:16" ht="15" customHeight="1">
      <c r="A67" s="3" t="s">
        <v>90</v>
      </c>
      <c r="B67" s="3" t="s">
        <v>17</v>
      </c>
      <c r="C67" s="3">
        <v>20</v>
      </c>
      <c r="D67" s="3" t="s">
        <v>18</v>
      </c>
      <c r="E67" s="3" t="s">
        <v>31</v>
      </c>
      <c r="F67" s="3"/>
      <c r="G67" s="3" t="s">
        <v>21</v>
      </c>
      <c r="H67" s="3" t="s">
        <v>22</v>
      </c>
      <c r="I67" s="3" t="s">
        <v>21</v>
      </c>
      <c r="J67" s="3" t="s">
        <v>21</v>
      </c>
      <c r="K67" s="3" t="s">
        <v>21</v>
      </c>
      <c r="L67" s="3">
        <v>1</v>
      </c>
      <c r="M67" s="3">
        <v>1</v>
      </c>
      <c r="N67" s="3">
        <v>9</v>
      </c>
      <c r="O67" s="3">
        <v>14</v>
      </c>
      <c r="P67" s="3" t="b">
        <f>FALSE()</f>
        <v>0</v>
      </c>
    </row>
    <row r="68" spans="1:16" ht="15" customHeight="1">
      <c r="A68" s="3" t="s">
        <v>91</v>
      </c>
      <c r="B68" s="3" t="s">
        <v>17</v>
      </c>
      <c r="C68" s="3">
        <v>19</v>
      </c>
      <c r="D68" s="3" t="s">
        <v>18</v>
      </c>
      <c r="E68" s="3" t="s">
        <v>31</v>
      </c>
      <c r="F68" s="3" t="s">
        <v>19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>
        <v>1</v>
      </c>
      <c r="M68" s="3">
        <v>0</v>
      </c>
      <c r="N68" s="3">
        <v>8</v>
      </c>
      <c r="O68" s="3">
        <v>9</v>
      </c>
      <c r="P68" s="3" t="b">
        <f>FALSE()</f>
        <v>0</v>
      </c>
    </row>
    <row r="69" spans="1:16" ht="15" customHeight="1">
      <c r="A69" s="3" t="s">
        <v>92</v>
      </c>
      <c r="B69" s="3" t="s">
        <v>24</v>
      </c>
      <c r="C69" s="3">
        <v>21</v>
      </c>
      <c r="D69" s="3" t="s">
        <v>25</v>
      </c>
      <c r="E69" s="3" t="s">
        <v>20</v>
      </c>
      <c r="F69" s="3" t="s">
        <v>31</v>
      </c>
      <c r="G69" s="3" t="s">
        <v>21</v>
      </c>
      <c r="H69" s="3" t="s">
        <v>22</v>
      </c>
      <c r="I69" s="3" t="s">
        <v>21</v>
      </c>
      <c r="J69" s="3" t="s">
        <v>22</v>
      </c>
      <c r="K69" s="3" t="s">
        <v>21</v>
      </c>
      <c r="L69" s="3">
        <v>3</v>
      </c>
      <c r="M69" s="3">
        <v>0</v>
      </c>
      <c r="N69" s="3">
        <v>5</v>
      </c>
      <c r="O69" s="3">
        <v>15</v>
      </c>
      <c r="P69" s="3" t="b">
        <f>FALSE()</f>
        <v>0</v>
      </c>
    </row>
    <row r="70" spans="1:16" ht="15" customHeight="1">
      <c r="A70" s="3" t="s">
        <v>93</v>
      </c>
      <c r="B70" s="3" t="s">
        <v>24</v>
      </c>
      <c r="C70" s="3">
        <v>22</v>
      </c>
      <c r="D70" s="3" t="s">
        <v>18</v>
      </c>
      <c r="E70" s="3" t="s">
        <v>20</v>
      </c>
      <c r="F70" s="3" t="s">
        <v>19</v>
      </c>
      <c r="G70" s="3" t="s">
        <v>22</v>
      </c>
      <c r="H70" s="3" t="s">
        <v>22</v>
      </c>
      <c r="I70" s="3" t="s">
        <v>21</v>
      </c>
      <c r="J70" s="3" t="s">
        <v>21</v>
      </c>
      <c r="K70" s="3" t="s">
        <v>21</v>
      </c>
      <c r="L70" s="3">
        <v>1</v>
      </c>
      <c r="M70" s="3">
        <v>0</v>
      </c>
      <c r="N70" s="3">
        <v>3</v>
      </c>
      <c r="O70" s="3">
        <v>10</v>
      </c>
      <c r="P70" s="3" t="b">
        <f>FALSE()</f>
        <v>0</v>
      </c>
    </row>
    <row r="71" spans="1:16" ht="15" customHeight="1">
      <c r="A71" s="3" t="s">
        <v>94</v>
      </c>
      <c r="B71" s="3" t="s">
        <v>24</v>
      </c>
      <c r="C71" s="3">
        <v>16</v>
      </c>
      <c r="D71" s="3" t="s">
        <v>25</v>
      </c>
      <c r="E71" s="3" t="s">
        <v>19</v>
      </c>
      <c r="F71" s="3" t="s">
        <v>31</v>
      </c>
      <c r="G71" s="3" t="s">
        <v>22</v>
      </c>
      <c r="H71" s="3" t="s">
        <v>22</v>
      </c>
      <c r="I71" s="3" t="s">
        <v>21</v>
      </c>
      <c r="J71" s="3" t="s">
        <v>22</v>
      </c>
      <c r="K71" s="3" t="s">
        <v>22</v>
      </c>
      <c r="L71" s="3">
        <v>3</v>
      </c>
      <c r="M71" s="3">
        <v>0</v>
      </c>
      <c r="N71" s="3">
        <v>5</v>
      </c>
      <c r="O71" s="3">
        <v>16</v>
      </c>
      <c r="P71" s="3" t="b">
        <f>FALSE()</f>
        <v>0</v>
      </c>
    </row>
    <row r="72" spans="1:16" ht="15" customHeight="1">
      <c r="A72" s="3" t="s">
        <v>95</v>
      </c>
      <c r="B72" s="3" t="s">
        <v>24</v>
      </c>
      <c r="C72" s="3">
        <v>22</v>
      </c>
      <c r="D72" s="3" t="s">
        <v>25</v>
      </c>
      <c r="E72" s="3" t="s">
        <v>19</v>
      </c>
      <c r="F72" s="3" t="s">
        <v>20</v>
      </c>
      <c r="G72" s="3" t="s">
        <v>21</v>
      </c>
      <c r="H72" s="3" t="s">
        <v>21</v>
      </c>
      <c r="I72" s="3" t="s">
        <v>22</v>
      </c>
      <c r="J72" s="3" t="s">
        <v>21</v>
      </c>
      <c r="K72" s="3" t="s">
        <v>21</v>
      </c>
      <c r="L72" s="3">
        <v>4</v>
      </c>
      <c r="M72" s="3">
        <v>0</v>
      </c>
      <c r="N72" s="3">
        <v>8</v>
      </c>
      <c r="O72" s="3">
        <v>13</v>
      </c>
      <c r="P72" s="3" t="b">
        <f>FALSE()</f>
        <v>0</v>
      </c>
    </row>
    <row r="73" spans="1:16" ht="15" customHeight="1">
      <c r="A73" s="3" t="s">
        <v>96</v>
      </c>
      <c r="B73" s="3" t="s">
        <v>24</v>
      </c>
      <c r="C73" s="3">
        <v>19</v>
      </c>
      <c r="D73" s="3" t="s">
        <v>18</v>
      </c>
      <c r="E73" s="3" t="s">
        <v>20</v>
      </c>
      <c r="F73" s="3" t="s">
        <v>19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22</v>
      </c>
      <c r="L73" s="3">
        <v>1</v>
      </c>
      <c r="M73" s="3">
        <v>1</v>
      </c>
      <c r="N73" s="3">
        <v>7</v>
      </c>
      <c r="O73" s="3">
        <v>9</v>
      </c>
      <c r="P73" s="3" t="b">
        <f>FALSE()</f>
        <v>0</v>
      </c>
    </row>
    <row r="74" spans="1:16" ht="15" customHeight="1">
      <c r="A74" s="3" t="s">
        <v>97</v>
      </c>
      <c r="B74" s="3" t="s">
        <v>17</v>
      </c>
      <c r="C74" s="3">
        <v>20</v>
      </c>
      <c r="D74" s="3" t="s">
        <v>18</v>
      </c>
      <c r="E74" s="3" t="s">
        <v>19</v>
      </c>
      <c r="F74" s="3" t="s">
        <v>31</v>
      </c>
      <c r="G74" s="3" t="s">
        <v>21</v>
      </c>
      <c r="H74" s="3" t="s">
        <v>22</v>
      </c>
      <c r="I74" s="3" t="s">
        <v>21</v>
      </c>
      <c r="J74" s="3" t="s">
        <v>21</v>
      </c>
      <c r="K74" s="3" t="s">
        <v>21</v>
      </c>
      <c r="L74" s="3">
        <v>1</v>
      </c>
      <c r="M74" s="3">
        <v>1</v>
      </c>
      <c r="N74" s="3">
        <v>6</v>
      </c>
      <c r="O74" s="3">
        <v>9</v>
      </c>
      <c r="P74" s="3" t="b">
        <f>FALSE()</f>
        <v>0</v>
      </c>
    </row>
    <row r="75" spans="1:16" ht="15" customHeight="1">
      <c r="A75" s="3" t="s">
        <v>98</v>
      </c>
      <c r="B75" s="3" t="s">
        <v>24</v>
      </c>
      <c r="C75" s="3">
        <v>15</v>
      </c>
      <c r="D75" s="3" t="s">
        <v>18</v>
      </c>
      <c r="E75" s="3" t="s">
        <v>20</v>
      </c>
      <c r="F75" s="3" t="s">
        <v>19</v>
      </c>
      <c r="G75" s="3" t="s">
        <v>21</v>
      </c>
      <c r="H75" s="3" t="s">
        <v>22</v>
      </c>
      <c r="I75" s="3" t="s">
        <v>21</v>
      </c>
      <c r="J75" s="3" t="s">
        <v>21</v>
      </c>
      <c r="K75" s="3" t="s">
        <v>22</v>
      </c>
      <c r="L75" s="3">
        <v>2</v>
      </c>
      <c r="M75" s="3">
        <v>1</v>
      </c>
      <c r="N75" s="3">
        <v>6</v>
      </c>
      <c r="O75" s="3">
        <v>11</v>
      </c>
      <c r="P75" s="3" t="b">
        <f>FALSE()</f>
        <v>0</v>
      </c>
    </row>
    <row r="76" spans="1:16" ht="15" customHeight="1">
      <c r="A76" s="3" t="s">
        <v>99</v>
      </c>
      <c r="B76" s="3" t="s">
        <v>24</v>
      </c>
      <c r="C76" s="3">
        <v>19</v>
      </c>
      <c r="D76" s="3" t="s">
        <v>18</v>
      </c>
      <c r="E76" s="3" t="s">
        <v>31</v>
      </c>
      <c r="F76" s="3" t="s">
        <v>20</v>
      </c>
      <c r="G76" s="3" t="s">
        <v>21</v>
      </c>
      <c r="H76" s="3" t="s">
        <v>22</v>
      </c>
      <c r="I76" s="3" t="s">
        <v>21</v>
      </c>
      <c r="J76" s="3" t="s">
        <v>21</v>
      </c>
      <c r="K76" s="3" t="s">
        <v>21</v>
      </c>
      <c r="L76" s="3">
        <v>1</v>
      </c>
      <c r="M76" s="3">
        <v>0</v>
      </c>
      <c r="N76" s="3">
        <v>2</v>
      </c>
      <c r="O76" s="3">
        <v>13</v>
      </c>
      <c r="P76" s="3" t="b">
        <f>FALSE()</f>
        <v>0</v>
      </c>
    </row>
    <row r="77" spans="1:16" ht="15" customHeight="1">
      <c r="A77" s="3" t="s">
        <v>100</v>
      </c>
      <c r="B77" s="3" t="s">
        <v>24</v>
      </c>
      <c r="C77" s="3">
        <v>20</v>
      </c>
      <c r="D77" s="3" t="s">
        <v>18</v>
      </c>
      <c r="E77" s="3"/>
      <c r="F77" s="3" t="s">
        <v>20</v>
      </c>
      <c r="G77" s="3" t="s">
        <v>21</v>
      </c>
      <c r="H77" s="3" t="s">
        <v>21</v>
      </c>
      <c r="I77" s="3" t="s">
        <v>21</v>
      </c>
      <c r="J77" s="3" t="s">
        <v>22</v>
      </c>
      <c r="K77" s="3" t="s">
        <v>21</v>
      </c>
      <c r="L77" s="3">
        <v>2</v>
      </c>
      <c r="M77" s="3">
        <v>1</v>
      </c>
      <c r="N77" s="3">
        <v>7</v>
      </c>
      <c r="O77" s="3">
        <v>12</v>
      </c>
      <c r="P77" s="3" t="b">
        <f>FALSE()</f>
        <v>0</v>
      </c>
    </row>
    <row r="78" spans="1:16" ht="15" customHeight="1">
      <c r="A78" s="3" t="s">
        <v>101</v>
      </c>
      <c r="B78" s="3" t="s">
        <v>24</v>
      </c>
      <c r="C78" s="3">
        <v>19</v>
      </c>
      <c r="D78" s="3" t="s">
        <v>25</v>
      </c>
      <c r="E78" s="3" t="s">
        <v>20</v>
      </c>
      <c r="F78" s="3" t="s">
        <v>20</v>
      </c>
      <c r="G78" s="3" t="s">
        <v>21</v>
      </c>
      <c r="H78" s="3" t="s">
        <v>21</v>
      </c>
      <c r="I78" s="3" t="s">
        <v>22</v>
      </c>
      <c r="J78" s="3" t="s">
        <v>21</v>
      </c>
      <c r="K78" s="3" t="s">
        <v>21</v>
      </c>
      <c r="L78" s="3">
        <v>3</v>
      </c>
      <c r="M78" s="3">
        <v>0</v>
      </c>
      <c r="N78" s="3">
        <v>7</v>
      </c>
      <c r="O78" s="3">
        <v>14</v>
      </c>
      <c r="P78" s="3" t="b">
        <f>FALSE()</f>
        <v>0</v>
      </c>
    </row>
    <row r="79" spans="1:16" ht="15" customHeight="1">
      <c r="A79" s="3" t="s">
        <v>102</v>
      </c>
      <c r="B79" s="3" t="s">
        <v>17</v>
      </c>
      <c r="C79" s="3">
        <v>15</v>
      </c>
      <c r="D79" s="3" t="s">
        <v>25</v>
      </c>
      <c r="E79" s="3" t="s">
        <v>19</v>
      </c>
      <c r="F79" s="3" t="s">
        <v>20</v>
      </c>
      <c r="G79" s="3" t="s">
        <v>21</v>
      </c>
      <c r="H79" s="3" t="s">
        <v>22</v>
      </c>
      <c r="I79" s="3" t="s">
        <v>21</v>
      </c>
      <c r="J79" s="3" t="s">
        <v>21</v>
      </c>
      <c r="K79" s="3" t="s">
        <v>21</v>
      </c>
      <c r="L79" s="3">
        <v>2</v>
      </c>
      <c r="M79" s="3">
        <v>0</v>
      </c>
      <c r="N79" s="3">
        <v>3</v>
      </c>
      <c r="O79" s="3">
        <v>11</v>
      </c>
      <c r="P79" s="3" t="b">
        <f>FALSE()</f>
        <v>0</v>
      </c>
    </row>
    <row r="80" spans="1:16" ht="15" customHeight="1">
      <c r="A80" s="3" t="s">
        <v>103</v>
      </c>
      <c r="B80" s="3" t="s">
        <v>17</v>
      </c>
      <c r="C80" s="3">
        <v>19</v>
      </c>
      <c r="D80" s="3" t="s">
        <v>25</v>
      </c>
      <c r="E80" s="3" t="s">
        <v>31</v>
      </c>
      <c r="F80" s="3" t="s">
        <v>20</v>
      </c>
      <c r="G80" s="3" t="s">
        <v>21</v>
      </c>
      <c r="H80" s="3" t="s">
        <v>21</v>
      </c>
      <c r="I80" s="3" t="s">
        <v>21</v>
      </c>
      <c r="J80" s="3" t="s">
        <v>22</v>
      </c>
      <c r="K80" s="3" t="s">
        <v>21</v>
      </c>
      <c r="L80" s="3">
        <v>2</v>
      </c>
      <c r="M80" s="3">
        <v>0</v>
      </c>
      <c r="N80" s="3">
        <v>4</v>
      </c>
      <c r="O80" s="3">
        <v>15</v>
      </c>
      <c r="P80" s="3" t="b">
        <f>FALSE()</f>
        <v>0</v>
      </c>
    </row>
    <row r="81" spans="1:16" ht="15" customHeight="1">
      <c r="A81" s="3" t="s">
        <v>104</v>
      </c>
      <c r="B81" s="3" t="s">
        <v>17</v>
      </c>
      <c r="C81" s="3">
        <v>22</v>
      </c>
      <c r="D81" s="3" t="s">
        <v>18</v>
      </c>
      <c r="E81" s="3" t="s">
        <v>19</v>
      </c>
      <c r="F81" s="3" t="s">
        <v>31</v>
      </c>
      <c r="G81" s="3" t="s">
        <v>21</v>
      </c>
      <c r="H81" s="3" t="s">
        <v>22</v>
      </c>
      <c r="I81" s="3" t="s">
        <v>21</v>
      </c>
      <c r="J81" s="3" t="s">
        <v>21</v>
      </c>
      <c r="K81" s="3" t="s">
        <v>21</v>
      </c>
      <c r="L81" s="3">
        <v>3</v>
      </c>
      <c r="M81" s="3">
        <v>0</v>
      </c>
      <c r="N81" s="3">
        <v>6</v>
      </c>
      <c r="O81" s="3">
        <v>14</v>
      </c>
      <c r="P81" s="3" t="b">
        <f>FALSE()</f>
        <v>0</v>
      </c>
    </row>
    <row r="82" spans="1:16" ht="15" customHeight="1">
      <c r="A82" s="3" t="s">
        <v>105</v>
      </c>
      <c r="B82" s="3" t="s">
        <v>17</v>
      </c>
      <c r="C82" s="3">
        <v>20</v>
      </c>
      <c r="D82" s="3" t="s">
        <v>25</v>
      </c>
      <c r="E82" s="3" t="s">
        <v>20</v>
      </c>
      <c r="F82" s="3" t="s">
        <v>31</v>
      </c>
      <c r="G82" s="3" t="s">
        <v>22</v>
      </c>
      <c r="H82" s="3" t="s">
        <v>22</v>
      </c>
      <c r="I82" s="3" t="s">
        <v>21</v>
      </c>
      <c r="J82" s="3" t="s">
        <v>22</v>
      </c>
      <c r="K82" s="3" t="s">
        <v>21</v>
      </c>
      <c r="L82" s="3">
        <v>2</v>
      </c>
      <c r="M82" s="3">
        <v>0</v>
      </c>
      <c r="N82" s="3">
        <v>5</v>
      </c>
      <c r="O82" s="3">
        <v>15</v>
      </c>
      <c r="P82" s="3" t="b">
        <f>FALSE()</f>
        <v>0</v>
      </c>
    </row>
    <row r="83" spans="1:16" ht="15" customHeight="1">
      <c r="A83" s="3" t="s">
        <v>106</v>
      </c>
      <c r="B83" s="3" t="s">
        <v>24</v>
      </c>
      <c r="C83" s="3">
        <v>16</v>
      </c>
      <c r="D83" s="3" t="s">
        <v>25</v>
      </c>
      <c r="E83" s="3" t="s">
        <v>20</v>
      </c>
      <c r="F83" s="3" t="s">
        <v>20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>
        <v>1</v>
      </c>
      <c r="M83" s="3">
        <v>0</v>
      </c>
      <c r="N83" s="3">
        <v>5</v>
      </c>
      <c r="O83" s="3">
        <v>11</v>
      </c>
      <c r="P83" s="3" t="b">
        <f>FALSE()</f>
        <v>0</v>
      </c>
    </row>
    <row r="84" spans="1:16" ht="15" customHeight="1">
      <c r="A84" s="3" t="s">
        <v>107</v>
      </c>
      <c r="B84" s="3" t="s">
        <v>17</v>
      </c>
      <c r="C84" s="3">
        <v>22</v>
      </c>
      <c r="D84" s="3" t="s">
        <v>18</v>
      </c>
      <c r="E84" s="3" t="s">
        <v>20</v>
      </c>
      <c r="F84" s="3" t="s">
        <v>19</v>
      </c>
      <c r="G84" s="3" t="s">
        <v>21</v>
      </c>
      <c r="H84" s="3" t="s">
        <v>22</v>
      </c>
      <c r="I84" s="3" t="s">
        <v>21</v>
      </c>
      <c r="J84" s="3" t="s">
        <v>22</v>
      </c>
      <c r="K84" s="3" t="s">
        <v>22</v>
      </c>
      <c r="L84" s="3">
        <v>2</v>
      </c>
      <c r="M84" s="3">
        <v>0</v>
      </c>
      <c r="N84" s="3">
        <v>8</v>
      </c>
      <c r="O84" s="3">
        <v>10</v>
      </c>
      <c r="P84" s="3" t="b">
        <f>TRUE()</f>
        <v>1</v>
      </c>
    </row>
    <row r="85" spans="1:16" ht="15" customHeight="1">
      <c r="A85" s="3" t="s">
        <v>108</v>
      </c>
      <c r="B85" s="3" t="s">
        <v>24</v>
      </c>
      <c r="C85" s="3">
        <v>22</v>
      </c>
      <c r="D85" s="3" t="s">
        <v>18</v>
      </c>
      <c r="E85" s="3" t="s">
        <v>20</v>
      </c>
      <c r="F85" s="3" t="s">
        <v>20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>
        <v>3</v>
      </c>
      <c r="M85" s="3">
        <v>0</v>
      </c>
      <c r="N85" s="3">
        <v>7</v>
      </c>
      <c r="O85" s="3">
        <v>14</v>
      </c>
      <c r="P85" s="3" t="b">
        <f>FALSE()</f>
        <v>0</v>
      </c>
    </row>
    <row r="86" spans="1:16" ht="15" customHeight="1">
      <c r="A86" s="3" t="s">
        <v>109</v>
      </c>
      <c r="B86" s="3" t="s">
        <v>24</v>
      </c>
      <c r="C86" s="3">
        <v>16</v>
      </c>
      <c r="D86" s="3" t="s">
        <v>18</v>
      </c>
      <c r="E86" s="3" t="s">
        <v>31</v>
      </c>
      <c r="F86" s="3" t="s">
        <v>31</v>
      </c>
      <c r="G86" s="3" t="s">
        <v>21</v>
      </c>
      <c r="H86" s="3" t="s">
        <v>22</v>
      </c>
      <c r="I86" s="3" t="s">
        <v>21</v>
      </c>
      <c r="J86" s="3" t="s">
        <v>21</v>
      </c>
      <c r="K86" s="3" t="s">
        <v>21</v>
      </c>
      <c r="L86" s="3">
        <v>2</v>
      </c>
      <c r="M86" s="3">
        <v>0</v>
      </c>
      <c r="N86" s="3">
        <v>8</v>
      </c>
      <c r="O86" s="3">
        <v>15</v>
      </c>
      <c r="P86" s="3" t="b">
        <f>FALSE()</f>
        <v>0</v>
      </c>
    </row>
    <row r="87" spans="1:16" ht="15" customHeight="1">
      <c r="A87" s="3" t="s">
        <v>110</v>
      </c>
      <c r="B87" s="3" t="s">
        <v>24</v>
      </c>
      <c r="C87" s="3">
        <v>21</v>
      </c>
      <c r="D87" s="3" t="s">
        <v>18</v>
      </c>
      <c r="E87" s="3" t="s">
        <v>20</v>
      </c>
      <c r="F87" s="3" t="s">
        <v>19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21</v>
      </c>
      <c r="L87" s="3">
        <v>2</v>
      </c>
      <c r="M87" s="3">
        <v>0</v>
      </c>
      <c r="N87" s="3">
        <v>8</v>
      </c>
      <c r="O87" s="3">
        <v>12</v>
      </c>
      <c r="P87" s="3" t="b">
        <f>FALSE()</f>
        <v>0</v>
      </c>
    </row>
    <row r="88" spans="1:16" ht="15" customHeight="1">
      <c r="A88" s="3" t="s">
        <v>111</v>
      </c>
      <c r="B88" s="3" t="s">
        <v>17</v>
      </c>
      <c r="C88" s="3">
        <v>18</v>
      </c>
      <c r="D88" s="3" t="s">
        <v>18</v>
      </c>
      <c r="E88" s="3" t="s">
        <v>31</v>
      </c>
      <c r="F88" s="3" t="s">
        <v>20</v>
      </c>
      <c r="G88" s="3" t="s">
        <v>21</v>
      </c>
      <c r="H88" s="3" t="s">
        <v>22</v>
      </c>
      <c r="I88" s="3" t="s">
        <v>22</v>
      </c>
      <c r="J88" s="3" t="s">
        <v>22</v>
      </c>
      <c r="K88" s="3" t="s">
        <v>21</v>
      </c>
      <c r="L88" s="3">
        <v>2</v>
      </c>
      <c r="M88" s="3">
        <v>3</v>
      </c>
      <c r="N88" s="3">
        <v>15</v>
      </c>
      <c r="O88" s="3">
        <v>4</v>
      </c>
      <c r="P88" s="3" t="b">
        <f>TRUE()</f>
        <v>1</v>
      </c>
    </row>
    <row r="89" spans="1:16" ht="15" customHeight="1">
      <c r="A89" s="3" t="s">
        <v>112</v>
      </c>
      <c r="B89" s="3" t="s">
        <v>24</v>
      </c>
      <c r="C89" s="3">
        <v>19</v>
      </c>
      <c r="D89" s="3" t="s">
        <v>18</v>
      </c>
      <c r="E89" s="3" t="s">
        <v>31</v>
      </c>
      <c r="F89" s="3" t="s">
        <v>20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>
        <v>1</v>
      </c>
      <c r="M89" s="3">
        <v>0</v>
      </c>
      <c r="N89" s="3">
        <v>8</v>
      </c>
      <c r="O89" s="3">
        <v>10</v>
      </c>
      <c r="P89" s="3" t="b">
        <f>FALSE()</f>
        <v>0</v>
      </c>
    </row>
    <row r="90" spans="1:16" ht="15" customHeight="1">
      <c r="A90" s="3" t="s">
        <v>113</v>
      </c>
      <c r="B90" s="3" t="s">
        <v>24</v>
      </c>
      <c r="C90" s="3">
        <v>18</v>
      </c>
      <c r="D90" s="3" t="s">
        <v>18</v>
      </c>
      <c r="E90" s="3" t="s">
        <v>20</v>
      </c>
      <c r="F90" s="3"/>
      <c r="G90" s="3" t="s">
        <v>22</v>
      </c>
      <c r="H90" s="3" t="s">
        <v>22</v>
      </c>
      <c r="I90" s="3" t="s">
        <v>21</v>
      </c>
      <c r="J90" s="3" t="s">
        <v>22</v>
      </c>
      <c r="K90" s="3" t="s">
        <v>21</v>
      </c>
      <c r="L90" s="3">
        <v>1</v>
      </c>
      <c r="M90" s="3">
        <v>0</v>
      </c>
      <c r="N90" s="3">
        <v>4</v>
      </c>
      <c r="O90" s="3">
        <v>15</v>
      </c>
      <c r="P90" s="3" t="b">
        <f>FALSE()</f>
        <v>0</v>
      </c>
    </row>
    <row r="91" spans="1:16" ht="15" customHeight="1">
      <c r="A91" s="3" t="s">
        <v>114</v>
      </c>
      <c r="B91" s="3" t="s">
        <v>24</v>
      </c>
      <c r="C91" s="3">
        <v>21</v>
      </c>
      <c r="D91" s="3" t="s">
        <v>25</v>
      </c>
      <c r="E91" s="3" t="s">
        <v>20</v>
      </c>
      <c r="F91" s="3" t="s">
        <v>20</v>
      </c>
      <c r="G91" s="3" t="s">
        <v>22</v>
      </c>
      <c r="H91" s="3" t="s">
        <v>22</v>
      </c>
      <c r="I91" s="3" t="s">
        <v>22</v>
      </c>
      <c r="J91" s="3" t="s">
        <v>21</v>
      </c>
      <c r="K91" s="3" t="s">
        <v>21</v>
      </c>
      <c r="L91" s="3">
        <v>1</v>
      </c>
      <c r="M91" s="3">
        <v>0</v>
      </c>
      <c r="N91" s="3">
        <v>8</v>
      </c>
      <c r="O91" s="3">
        <v>8</v>
      </c>
      <c r="P91" s="3" t="b">
        <f>TRUE()</f>
        <v>1</v>
      </c>
    </row>
    <row r="92" spans="1:16" ht="15" customHeight="1">
      <c r="A92" s="3" t="s">
        <v>115</v>
      </c>
      <c r="B92" s="3" t="s">
        <v>24</v>
      </c>
      <c r="C92" s="3">
        <v>22</v>
      </c>
      <c r="D92" s="3" t="s">
        <v>25</v>
      </c>
      <c r="E92" s="3"/>
      <c r="F92" s="3" t="s">
        <v>20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>
        <v>4</v>
      </c>
      <c r="M92" s="3">
        <v>2</v>
      </c>
      <c r="N92" s="3">
        <v>6</v>
      </c>
      <c r="O92" s="3">
        <v>10</v>
      </c>
      <c r="P92" s="3" t="b">
        <f>TRUE()</f>
        <v>1</v>
      </c>
    </row>
    <row r="93" spans="1:16" ht="15" customHeight="1">
      <c r="A93" s="3" t="s">
        <v>116</v>
      </c>
      <c r="B93" s="3" t="s">
        <v>17</v>
      </c>
      <c r="C93" s="3">
        <v>21</v>
      </c>
      <c r="D93" s="3" t="s">
        <v>18</v>
      </c>
      <c r="E93" s="3" t="s">
        <v>31</v>
      </c>
      <c r="F93" s="3" t="s">
        <v>31</v>
      </c>
      <c r="G93" s="3" t="s">
        <v>21</v>
      </c>
      <c r="H93" s="3" t="s">
        <v>21</v>
      </c>
      <c r="I93" s="3" t="s">
        <v>22</v>
      </c>
      <c r="J93" s="3" t="s">
        <v>21</v>
      </c>
      <c r="K93" s="3" t="s">
        <v>21</v>
      </c>
      <c r="L93" s="3">
        <v>1</v>
      </c>
      <c r="M93" s="3">
        <v>0</v>
      </c>
      <c r="N93" s="3">
        <v>7</v>
      </c>
      <c r="O93" s="3">
        <v>13</v>
      </c>
      <c r="P93" s="3" t="b">
        <f>FALSE()</f>
        <v>0</v>
      </c>
    </row>
    <row r="94" spans="1:16" ht="15" customHeight="1">
      <c r="A94" s="3" t="s">
        <v>117</v>
      </c>
      <c r="B94" s="3" t="s">
        <v>24</v>
      </c>
      <c r="C94" s="3">
        <v>22</v>
      </c>
      <c r="D94" s="3" t="s">
        <v>25</v>
      </c>
      <c r="E94" s="3" t="s">
        <v>20</v>
      </c>
      <c r="F94" s="3" t="s">
        <v>31</v>
      </c>
      <c r="G94" s="3" t="s">
        <v>21</v>
      </c>
      <c r="H94" s="3" t="s">
        <v>21</v>
      </c>
      <c r="I94" s="3" t="s">
        <v>22</v>
      </c>
      <c r="J94" s="3" t="s">
        <v>22</v>
      </c>
      <c r="K94" s="3" t="s">
        <v>21</v>
      </c>
      <c r="L94" s="3">
        <v>3</v>
      </c>
      <c r="M94" s="3">
        <v>2</v>
      </c>
      <c r="N94" s="3">
        <v>11</v>
      </c>
      <c r="O94" s="3">
        <v>5</v>
      </c>
      <c r="P94" s="3" t="b">
        <f>TRUE()</f>
        <v>1</v>
      </c>
    </row>
    <row r="95" spans="1:16" ht="15" customHeight="1">
      <c r="A95" s="3" t="s">
        <v>118</v>
      </c>
      <c r="B95" s="3" t="s">
        <v>24</v>
      </c>
      <c r="C95" s="3">
        <v>22</v>
      </c>
      <c r="D95" s="3" t="s">
        <v>25</v>
      </c>
      <c r="E95" s="3" t="s">
        <v>20</v>
      </c>
      <c r="F95" s="3" t="s">
        <v>31</v>
      </c>
      <c r="G95" s="3" t="s">
        <v>21</v>
      </c>
      <c r="H95" s="3" t="s">
        <v>22</v>
      </c>
      <c r="I95" s="3" t="s">
        <v>22</v>
      </c>
      <c r="J95" s="3" t="s">
        <v>21</v>
      </c>
      <c r="K95" s="3" t="s">
        <v>21</v>
      </c>
      <c r="L95" s="3">
        <v>1</v>
      </c>
      <c r="M95" s="3">
        <v>0</v>
      </c>
      <c r="N95" s="3">
        <v>11</v>
      </c>
      <c r="O95" s="3">
        <v>13</v>
      </c>
      <c r="P95" s="3" t="b">
        <f>FALSE()</f>
        <v>0</v>
      </c>
    </row>
    <row r="96" spans="1:16" ht="15" customHeight="1">
      <c r="A96" s="3" t="s">
        <v>119</v>
      </c>
      <c r="B96" s="3" t="s">
        <v>24</v>
      </c>
      <c r="C96" s="3">
        <v>15</v>
      </c>
      <c r="D96" s="3" t="s">
        <v>18</v>
      </c>
      <c r="E96" s="3" t="s">
        <v>19</v>
      </c>
      <c r="F96" s="3" t="s">
        <v>20</v>
      </c>
      <c r="G96" s="3" t="s">
        <v>21</v>
      </c>
      <c r="H96" s="3" t="s">
        <v>22</v>
      </c>
      <c r="I96" s="3" t="s">
        <v>22</v>
      </c>
      <c r="J96" s="3" t="s">
        <v>22</v>
      </c>
      <c r="K96" s="3" t="s">
        <v>21</v>
      </c>
      <c r="L96" s="3">
        <v>2</v>
      </c>
      <c r="M96" s="3">
        <v>0</v>
      </c>
      <c r="N96" s="3">
        <v>12</v>
      </c>
      <c r="O96" s="3">
        <v>13</v>
      </c>
      <c r="P96" s="3" t="b">
        <f>FALSE()</f>
        <v>0</v>
      </c>
    </row>
    <row r="97" spans="1:16" ht="15" customHeight="1">
      <c r="A97" s="3" t="s">
        <v>120</v>
      </c>
      <c r="B97" s="3" t="s">
        <v>17</v>
      </c>
      <c r="C97" s="3">
        <v>17</v>
      </c>
      <c r="D97" s="3" t="s">
        <v>18</v>
      </c>
      <c r="E97" s="3" t="s">
        <v>31</v>
      </c>
      <c r="F97" s="3" t="s">
        <v>19</v>
      </c>
      <c r="G97" s="3" t="s">
        <v>21</v>
      </c>
      <c r="H97" s="3" t="s">
        <v>22</v>
      </c>
      <c r="I97" s="3" t="s">
        <v>21</v>
      </c>
      <c r="J97" s="3" t="s">
        <v>21</v>
      </c>
      <c r="K97" s="3" t="s">
        <v>22</v>
      </c>
      <c r="L97" s="3">
        <v>2</v>
      </c>
      <c r="M97" s="3">
        <v>0</v>
      </c>
      <c r="N97" s="3">
        <v>3</v>
      </c>
      <c r="O97" s="3">
        <v>16</v>
      </c>
      <c r="P97" s="3" t="b">
        <f>FALSE()</f>
        <v>0</v>
      </c>
    </row>
    <row r="98" spans="1:16" ht="15" customHeight="1">
      <c r="A98" s="3" t="s">
        <v>121</v>
      </c>
      <c r="B98" s="3" t="s">
        <v>24</v>
      </c>
      <c r="C98" s="3">
        <v>20</v>
      </c>
      <c r="D98" s="3" t="s">
        <v>18</v>
      </c>
      <c r="E98" s="3" t="s">
        <v>20</v>
      </c>
      <c r="F98" s="3" t="s">
        <v>20</v>
      </c>
      <c r="G98" s="3" t="s">
        <v>22</v>
      </c>
      <c r="H98" s="3" t="s">
        <v>22</v>
      </c>
      <c r="I98" s="3" t="s">
        <v>21</v>
      </c>
      <c r="J98" s="3" t="s">
        <v>22</v>
      </c>
      <c r="K98" s="3" t="s">
        <v>21</v>
      </c>
      <c r="L98" s="3">
        <v>2</v>
      </c>
      <c r="M98" s="3">
        <v>0</v>
      </c>
      <c r="N98" s="3">
        <v>6</v>
      </c>
      <c r="O98" s="3">
        <v>14</v>
      </c>
      <c r="P98" s="3" t="b">
        <f>FALSE()</f>
        <v>0</v>
      </c>
    </row>
    <row r="99" spans="1:16" ht="15" customHeight="1">
      <c r="A99" s="3" t="s">
        <v>122</v>
      </c>
      <c r="B99" s="3" t="s">
        <v>24</v>
      </c>
      <c r="C99" s="3">
        <v>19</v>
      </c>
      <c r="D99" s="3" t="s">
        <v>18</v>
      </c>
      <c r="E99" s="3" t="s">
        <v>20</v>
      </c>
      <c r="F99" s="3" t="s">
        <v>31</v>
      </c>
      <c r="G99" s="3" t="s">
        <v>21</v>
      </c>
      <c r="H99" s="3" t="s">
        <v>22</v>
      </c>
      <c r="I99" s="3" t="s">
        <v>21</v>
      </c>
      <c r="J99" s="3" t="s">
        <v>22</v>
      </c>
      <c r="K99" s="3" t="s">
        <v>21</v>
      </c>
      <c r="L99" s="3">
        <v>3</v>
      </c>
      <c r="M99" s="3">
        <v>1</v>
      </c>
      <c r="N99" s="3">
        <v>5</v>
      </c>
      <c r="O99" s="3">
        <v>12</v>
      </c>
      <c r="P99" s="3" t="b">
        <f>FALSE()</f>
        <v>0</v>
      </c>
    </row>
    <row r="100" spans="1:16" ht="15" customHeight="1">
      <c r="A100" s="3" t="s">
        <v>123</v>
      </c>
      <c r="B100" s="3" t="s">
        <v>24</v>
      </c>
      <c r="C100" s="3">
        <v>15</v>
      </c>
      <c r="D100" s="3" t="s">
        <v>25</v>
      </c>
      <c r="E100" s="3" t="s">
        <v>19</v>
      </c>
      <c r="F100" s="3" t="s">
        <v>20</v>
      </c>
      <c r="G100" s="3" t="s">
        <v>21</v>
      </c>
      <c r="H100" s="3" t="s">
        <v>22</v>
      </c>
      <c r="I100" s="3" t="s">
        <v>21</v>
      </c>
      <c r="J100" s="3" t="s">
        <v>21</v>
      </c>
      <c r="K100" s="3" t="s">
        <v>21</v>
      </c>
      <c r="L100" s="3">
        <v>4</v>
      </c>
      <c r="M100" s="3">
        <v>2</v>
      </c>
      <c r="N100" s="3">
        <v>11</v>
      </c>
      <c r="O100" s="3">
        <v>8</v>
      </c>
      <c r="P100" s="3" t="b">
        <f>TRUE()</f>
        <v>1</v>
      </c>
    </row>
    <row r="101" spans="1:16" ht="15" customHeight="1">
      <c r="A101" s="3" t="s">
        <v>124</v>
      </c>
      <c r="B101" s="3" t="s">
        <v>17</v>
      </c>
      <c r="C101" s="3">
        <v>15</v>
      </c>
      <c r="D101" s="3" t="s">
        <v>18</v>
      </c>
      <c r="E101" s="3" t="s">
        <v>31</v>
      </c>
      <c r="F101" s="3" t="s">
        <v>31</v>
      </c>
      <c r="G101" s="3" t="s">
        <v>21</v>
      </c>
      <c r="H101" s="3" t="s">
        <v>22</v>
      </c>
      <c r="I101" s="3" t="s">
        <v>21</v>
      </c>
      <c r="J101" s="3" t="s">
        <v>21</v>
      </c>
      <c r="K101" s="3" t="s">
        <v>21</v>
      </c>
      <c r="L101" s="3">
        <v>3</v>
      </c>
      <c r="M101" s="3">
        <v>0</v>
      </c>
      <c r="N101" s="3">
        <v>2</v>
      </c>
      <c r="O101" s="3">
        <v>15</v>
      </c>
      <c r="P101" s="3" t="b">
        <f>FALSE()</f>
        <v>0</v>
      </c>
    </row>
    <row r="102" spans="1:16" ht="15" customHeight="1">
      <c r="A102" s="3" t="s">
        <v>125</v>
      </c>
      <c r="B102" s="3" t="s">
        <v>17</v>
      </c>
      <c r="C102" s="3">
        <v>19</v>
      </c>
      <c r="D102" s="3" t="s">
        <v>18</v>
      </c>
      <c r="E102" s="3" t="s">
        <v>19</v>
      </c>
      <c r="F102" s="3" t="s">
        <v>19</v>
      </c>
      <c r="G102" s="3" t="s">
        <v>21</v>
      </c>
      <c r="H102" s="3" t="s">
        <v>22</v>
      </c>
      <c r="I102" s="3" t="s">
        <v>22</v>
      </c>
      <c r="J102" s="3" t="s">
        <v>21</v>
      </c>
      <c r="K102" s="3" t="s">
        <v>22</v>
      </c>
      <c r="L102" s="3">
        <v>1</v>
      </c>
      <c r="M102" s="3">
        <v>3</v>
      </c>
      <c r="N102" s="3">
        <v>13</v>
      </c>
      <c r="O102" s="3">
        <v>1</v>
      </c>
      <c r="P102" s="3" t="b">
        <f>TRUE()</f>
        <v>1</v>
      </c>
    </row>
    <row r="103" spans="1:16" ht="15" customHeight="1">
      <c r="A103" s="3" t="s">
        <v>126</v>
      </c>
      <c r="B103" s="3" t="s">
        <v>17</v>
      </c>
      <c r="C103" s="3">
        <v>19</v>
      </c>
      <c r="D103" s="3" t="s">
        <v>18</v>
      </c>
      <c r="E103" s="3" t="s">
        <v>19</v>
      </c>
      <c r="F103" s="3" t="s">
        <v>31</v>
      </c>
      <c r="G103" s="3" t="s">
        <v>21</v>
      </c>
      <c r="H103" s="3" t="s">
        <v>21</v>
      </c>
      <c r="I103" s="3" t="s">
        <v>21</v>
      </c>
      <c r="J103" s="3" t="s">
        <v>22</v>
      </c>
      <c r="K103" s="3" t="s">
        <v>21</v>
      </c>
      <c r="L103" s="3">
        <v>3</v>
      </c>
      <c r="M103" s="3">
        <v>0</v>
      </c>
      <c r="N103" s="3">
        <v>3</v>
      </c>
      <c r="O103" s="3">
        <v>16</v>
      </c>
      <c r="P103" s="3" t="b">
        <f>FALSE()</f>
        <v>0</v>
      </c>
    </row>
    <row r="104" spans="1:16" ht="15" customHeight="1">
      <c r="A104" s="3" t="s">
        <v>127</v>
      </c>
      <c r="B104" s="3" t="s">
        <v>24</v>
      </c>
      <c r="C104" s="3">
        <v>16</v>
      </c>
      <c r="D104" s="3" t="s">
        <v>18</v>
      </c>
      <c r="E104" s="3" t="s">
        <v>31</v>
      </c>
      <c r="F104" s="3" t="s">
        <v>19</v>
      </c>
      <c r="G104" s="3" t="s">
        <v>22</v>
      </c>
      <c r="H104" s="3" t="s">
        <v>22</v>
      </c>
      <c r="I104" s="3" t="s">
        <v>21</v>
      </c>
      <c r="J104" s="3" t="s">
        <v>21</v>
      </c>
      <c r="K104" s="3" t="s">
        <v>21</v>
      </c>
      <c r="L104" s="3">
        <v>1</v>
      </c>
      <c r="M104" s="3">
        <v>0</v>
      </c>
      <c r="N104" s="3">
        <v>12</v>
      </c>
      <c r="O104" s="3">
        <v>12</v>
      </c>
      <c r="P104" s="3" t="b">
        <f>FALSE()</f>
        <v>0</v>
      </c>
    </row>
    <row r="105" spans="1:16" ht="15" customHeight="1">
      <c r="A105" s="3" t="s">
        <v>128</v>
      </c>
      <c r="B105" s="3" t="s">
        <v>17</v>
      </c>
      <c r="C105" s="3">
        <v>16</v>
      </c>
      <c r="D105" s="3" t="s">
        <v>25</v>
      </c>
      <c r="E105" s="3" t="s">
        <v>31</v>
      </c>
      <c r="F105" s="3" t="s">
        <v>19</v>
      </c>
      <c r="G105" s="3" t="s">
        <v>22</v>
      </c>
      <c r="H105" s="3" t="s">
        <v>22</v>
      </c>
      <c r="I105" s="3" t="s">
        <v>22</v>
      </c>
      <c r="J105" s="3" t="s">
        <v>21</v>
      </c>
      <c r="K105" s="3" t="s">
        <v>21</v>
      </c>
      <c r="L105" s="3">
        <v>4</v>
      </c>
      <c r="M105" s="3">
        <v>0</v>
      </c>
      <c r="N105" s="3">
        <v>5</v>
      </c>
      <c r="O105" s="3">
        <v>17</v>
      </c>
      <c r="P105" s="3" t="b">
        <f>FALSE()</f>
        <v>0</v>
      </c>
    </row>
    <row r="106" spans="1:16" ht="15" customHeight="1">
      <c r="A106" s="3" t="s">
        <v>129</v>
      </c>
      <c r="B106" s="3" t="s">
        <v>17</v>
      </c>
      <c r="C106" s="3">
        <v>16</v>
      </c>
      <c r="D106" s="3" t="s">
        <v>18</v>
      </c>
      <c r="E106" s="3" t="s">
        <v>19</v>
      </c>
      <c r="F106" s="3" t="s">
        <v>20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>
        <v>2</v>
      </c>
      <c r="M106" s="3">
        <v>0</v>
      </c>
      <c r="N106" s="3">
        <v>6</v>
      </c>
      <c r="O106" s="3">
        <v>14</v>
      </c>
      <c r="P106" s="3" t="b">
        <f>FALSE()</f>
        <v>0</v>
      </c>
    </row>
    <row r="107" spans="1:16" ht="15" customHeight="1">
      <c r="A107" s="3" t="s">
        <v>130</v>
      </c>
      <c r="B107" s="3" t="s">
        <v>17</v>
      </c>
      <c r="C107" s="3">
        <v>19</v>
      </c>
      <c r="D107" s="3" t="s">
        <v>18</v>
      </c>
      <c r="E107" s="3" t="s">
        <v>20</v>
      </c>
      <c r="F107" s="3"/>
      <c r="G107" s="3" t="s">
        <v>21</v>
      </c>
      <c r="H107" s="3" t="s">
        <v>22</v>
      </c>
      <c r="I107" s="3" t="s">
        <v>21</v>
      </c>
      <c r="J107" s="3" t="s">
        <v>22</v>
      </c>
      <c r="K107" s="3" t="s">
        <v>22</v>
      </c>
      <c r="L107" s="3">
        <v>2</v>
      </c>
      <c r="M107" s="3">
        <v>1</v>
      </c>
      <c r="N107" s="3">
        <v>5</v>
      </c>
      <c r="O107" s="3">
        <v>13</v>
      </c>
      <c r="P107" s="3" t="b">
        <f>FALSE()</f>
        <v>0</v>
      </c>
    </row>
    <row r="108" spans="1:16" ht="15" customHeight="1">
      <c r="A108" s="3" t="s">
        <v>131</v>
      </c>
      <c r="B108" s="3" t="s">
        <v>24</v>
      </c>
      <c r="C108" s="3">
        <v>15</v>
      </c>
      <c r="D108" s="3" t="s">
        <v>18</v>
      </c>
      <c r="E108" s="3" t="s">
        <v>31</v>
      </c>
      <c r="F108" s="3"/>
      <c r="G108" s="3" t="s">
        <v>21</v>
      </c>
      <c r="H108" s="3" t="s">
        <v>21</v>
      </c>
      <c r="I108" s="3" t="s">
        <v>22</v>
      </c>
      <c r="J108" s="3" t="s">
        <v>21</v>
      </c>
      <c r="K108" s="3" t="s">
        <v>21</v>
      </c>
      <c r="L108" s="3">
        <v>1</v>
      </c>
      <c r="M108" s="3">
        <v>0</v>
      </c>
      <c r="N108" s="3">
        <v>6</v>
      </c>
      <c r="O108" s="3">
        <v>11</v>
      </c>
      <c r="P108" s="3" t="b">
        <f>FALSE()</f>
        <v>0</v>
      </c>
    </row>
    <row r="109" spans="1:16" ht="15" customHeight="1">
      <c r="A109" s="3" t="s">
        <v>132</v>
      </c>
      <c r="B109" s="3" t="s">
        <v>24</v>
      </c>
      <c r="C109" s="3">
        <v>19</v>
      </c>
      <c r="D109" s="3" t="s">
        <v>18</v>
      </c>
      <c r="E109" s="3" t="s">
        <v>31</v>
      </c>
      <c r="F109" s="3"/>
      <c r="G109" s="3" t="s">
        <v>21</v>
      </c>
      <c r="H109" s="3" t="s">
        <v>22</v>
      </c>
      <c r="I109" s="3" t="s">
        <v>21</v>
      </c>
      <c r="J109" s="3" t="s">
        <v>21</v>
      </c>
      <c r="K109" s="3" t="s">
        <v>21</v>
      </c>
      <c r="L109" s="3">
        <v>1</v>
      </c>
      <c r="M109" s="3">
        <v>0</v>
      </c>
      <c r="N109" s="3">
        <v>4</v>
      </c>
      <c r="O109" s="3">
        <v>12</v>
      </c>
      <c r="P109" s="3" t="b">
        <f>FALSE()</f>
        <v>0</v>
      </c>
    </row>
    <row r="110" spans="1:16" ht="15" customHeight="1">
      <c r="A110" s="3" t="s">
        <v>133</v>
      </c>
      <c r="B110" s="3" t="s">
        <v>24</v>
      </c>
      <c r="C110" s="3">
        <v>18</v>
      </c>
      <c r="D110" s="3" t="s">
        <v>18</v>
      </c>
      <c r="E110" s="3" t="s">
        <v>20</v>
      </c>
      <c r="F110" s="3" t="s">
        <v>20</v>
      </c>
      <c r="G110" s="3" t="s">
        <v>22</v>
      </c>
      <c r="H110" s="3" t="s">
        <v>22</v>
      </c>
      <c r="I110" s="3" t="s">
        <v>21</v>
      </c>
      <c r="J110" s="3" t="s">
        <v>22</v>
      </c>
      <c r="K110" s="3" t="s">
        <v>21</v>
      </c>
      <c r="L110" s="3">
        <v>1</v>
      </c>
      <c r="M110" s="3">
        <v>0</v>
      </c>
      <c r="N110" s="3">
        <v>5</v>
      </c>
      <c r="O110" s="3">
        <v>13</v>
      </c>
      <c r="P110" s="3" t="b">
        <f>FALSE()</f>
        <v>0</v>
      </c>
    </row>
    <row r="111" spans="1:16" ht="15" customHeight="1">
      <c r="A111" s="3" t="s">
        <v>134</v>
      </c>
      <c r="B111" s="3" t="s">
        <v>17</v>
      </c>
      <c r="C111" s="3">
        <v>18</v>
      </c>
      <c r="D111" s="3" t="s">
        <v>18</v>
      </c>
      <c r="E111" s="3" t="s">
        <v>20</v>
      </c>
      <c r="F111" s="3" t="s">
        <v>31</v>
      </c>
      <c r="G111" s="3" t="s">
        <v>21</v>
      </c>
      <c r="H111" s="3" t="s">
        <v>22</v>
      </c>
      <c r="I111" s="3" t="s">
        <v>21</v>
      </c>
      <c r="J111" s="3" t="s">
        <v>21</v>
      </c>
      <c r="K111" s="3" t="s">
        <v>21</v>
      </c>
      <c r="L111" s="3">
        <v>4</v>
      </c>
      <c r="M111" s="3">
        <v>0</v>
      </c>
      <c r="N111" s="3">
        <v>3</v>
      </c>
      <c r="O111" s="3">
        <v>15</v>
      </c>
      <c r="P111" s="3" t="b">
        <f>FALSE()</f>
        <v>0</v>
      </c>
    </row>
    <row r="112" spans="1:16" ht="15" customHeight="1">
      <c r="A112" s="3" t="s">
        <v>135</v>
      </c>
      <c r="B112" s="3" t="s">
        <v>24</v>
      </c>
      <c r="C112" s="3">
        <v>20</v>
      </c>
      <c r="D112" s="3" t="s">
        <v>18</v>
      </c>
      <c r="E112" s="3" t="s">
        <v>31</v>
      </c>
      <c r="F112" s="3"/>
      <c r="G112" s="3" t="s">
        <v>21</v>
      </c>
      <c r="H112" s="3" t="s">
        <v>21</v>
      </c>
      <c r="I112" s="3" t="s">
        <v>22</v>
      </c>
      <c r="J112" s="3" t="s">
        <v>22</v>
      </c>
      <c r="K112" s="3" t="s">
        <v>21</v>
      </c>
      <c r="L112" s="3">
        <v>3</v>
      </c>
      <c r="M112" s="3">
        <v>0</v>
      </c>
      <c r="N112" s="3">
        <v>5</v>
      </c>
      <c r="O112" s="3">
        <v>15</v>
      </c>
      <c r="P112" s="3" t="b">
        <f>FALSE()</f>
        <v>0</v>
      </c>
    </row>
    <row r="113" spans="1:16" ht="15" customHeight="1">
      <c r="A113" s="3" t="s">
        <v>136</v>
      </c>
      <c r="B113" s="3" t="s">
        <v>24</v>
      </c>
      <c r="C113" s="3">
        <v>19</v>
      </c>
      <c r="D113" s="3" t="s">
        <v>18</v>
      </c>
      <c r="E113" s="3" t="s">
        <v>31</v>
      </c>
      <c r="F113" s="3" t="s">
        <v>20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>
        <v>4</v>
      </c>
      <c r="M113" s="3">
        <v>1</v>
      </c>
      <c r="N113" s="3">
        <v>8</v>
      </c>
      <c r="O113" s="3">
        <v>11</v>
      </c>
      <c r="P113" s="3" t="b">
        <f>FALSE()</f>
        <v>0</v>
      </c>
    </row>
    <row r="114" spans="1:16" ht="15" customHeight="1">
      <c r="A114" s="3" t="s">
        <v>137</v>
      </c>
      <c r="B114" s="3" t="s">
        <v>24</v>
      </c>
      <c r="C114" s="3">
        <v>20</v>
      </c>
      <c r="D114" s="3" t="s">
        <v>25</v>
      </c>
      <c r="E114" s="3" t="s">
        <v>31</v>
      </c>
      <c r="F114" s="3" t="s">
        <v>31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>
        <v>1</v>
      </c>
      <c r="M114" s="3">
        <v>0</v>
      </c>
      <c r="N114" s="3">
        <v>9</v>
      </c>
      <c r="O114" s="3">
        <v>10</v>
      </c>
      <c r="P114" s="3" t="b">
        <f>FALSE()</f>
        <v>0</v>
      </c>
    </row>
    <row r="115" spans="1:16" ht="15" customHeight="1">
      <c r="A115" s="3" t="s">
        <v>138</v>
      </c>
      <c r="B115" s="3" t="s">
        <v>17</v>
      </c>
      <c r="C115" s="3">
        <v>21</v>
      </c>
      <c r="D115" s="3" t="s">
        <v>18</v>
      </c>
      <c r="E115" s="3" t="s">
        <v>20</v>
      </c>
      <c r="F115" s="3" t="s">
        <v>19</v>
      </c>
      <c r="G115" s="3" t="s">
        <v>21</v>
      </c>
      <c r="H115" s="3" t="s">
        <v>21</v>
      </c>
      <c r="I115" s="3" t="s">
        <v>21</v>
      </c>
      <c r="J115" s="3" t="s">
        <v>22</v>
      </c>
      <c r="K115" s="3" t="s">
        <v>21</v>
      </c>
      <c r="L115" s="3">
        <v>2</v>
      </c>
      <c r="M115" s="3">
        <v>0</v>
      </c>
      <c r="N115" s="3">
        <v>3</v>
      </c>
      <c r="O115" s="3">
        <v>15</v>
      </c>
      <c r="P115" s="3" t="b">
        <f>FALSE()</f>
        <v>0</v>
      </c>
    </row>
    <row r="116" spans="1:16" ht="15" customHeight="1">
      <c r="A116" s="3" t="s">
        <v>139</v>
      </c>
      <c r="B116" s="3" t="s">
        <v>24</v>
      </c>
      <c r="C116" s="3">
        <v>22</v>
      </c>
      <c r="D116" s="3" t="s">
        <v>18</v>
      </c>
      <c r="E116" s="3" t="s">
        <v>19</v>
      </c>
      <c r="F116" s="3" t="s">
        <v>19</v>
      </c>
      <c r="G116" s="3" t="s">
        <v>21</v>
      </c>
      <c r="H116" s="3" t="s">
        <v>21</v>
      </c>
      <c r="I116" s="3" t="s">
        <v>21</v>
      </c>
      <c r="J116" s="3" t="s">
        <v>22</v>
      </c>
      <c r="K116" s="3" t="s">
        <v>21</v>
      </c>
      <c r="L116" s="3">
        <v>1</v>
      </c>
      <c r="M116" s="3">
        <v>0</v>
      </c>
      <c r="N116" s="3">
        <v>6</v>
      </c>
      <c r="O116" s="3">
        <v>14</v>
      </c>
      <c r="P116" s="3" t="b">
        <f>FALSE()</f>
        <v>0</v>
      </c>
    </row>
    <row r="117" spans="1:16" ht="15" customHeight="1">
      <c r="A117" s="3" t="s">
        <v>140</v>
      </c>
      <c r="B117" s="3" t="s">
        <v>17</v>
      </c>
      <c r="C117" s="3">
        <v>21</v>
      </c>
      <c r="D117" s="3" t="s">
        <v>18</v>
      </c>
      <c r="E117" s="3" t="s">
        <v>31</v>
      </c>
      <c r="F117" s="3" t="s">
        <v>31</v>
      </c>
      <c r="G117" s="3" t="s">
        <v>21</v>
      </c>
      <c r="H117" s="3" t="s">
        <v>21</v>
      </c>
      <c r="I117" s="3" t="s">
        <v>22</v>
      </c>
      <c r="J117" s="3" t="s">
        <v>22</v>
      </c>
      <c r="K117" s="3" t="s">
        <v>21</v>
      </c>
      <c r="L117" s="3">
        <v>2</v>
      </c>
      <c r="M117" s="3">
        <v>0</v>
      </c>
      <c r="N117" s="3">
        <v>6</v>
      </c>
      <c r="O117" s="3">
        <v>11</v>
      </c>
      <c r="P117" s="3" t="b">
        <f>FALSE()</f>
        <v>0</v>
      </c>
    </row>
    <row r="118" spans="1:16" ht="15" customHeight="1">
      <c r="A118" s="3" t="s">
        <v>141</v>
      </c>
      <c r="B118" s="3" t="s">
        <v>17</v>
      </c>
      <c r="C118" s="3">
        <v>19</v>
      </c>
      <c r="D118" s="3" t="s">
        <v>25</v>
      </c>
      <c r="E118" s="3" t="s">
        <v>31</v>
      </c>
      <c r="F118" s="3" t="s">
        <v>31</v>
      </c>
      <c r="G118" s="3" t="s">
        <v>21</v>
      </c>
      <c r="H118" s="3" t="s">
        <v>22</v>
      </c>
      <c r="I118" s="3" t="s">
        <v>21</v>
      </c>
      <c r="J118" s="3" t="s">
        <v>21</v>
      </c>
      <c r="K118" s="3" t="s">
        <v>22</v>
      </c>
      <c r="L118" s="3">
        <v>2</v>
      </c>
      <c r="M118" s="3">
        <v>0</v>
      </c>
      <c r="N118" s="3">
        <v>12</v>
      </c>
      <c r="O118" s="3">
        <v>13</v>
      </c>
      <c r="P118" s="3" t="b">
        <f>FALSE()</f>
        <v>0</v>
      </c>
    </row>
    <row r="119" spans="1:16" ht="15" customHeight="1">
      <c r="A119" s="3" t="s">
        <v>142</v>
      </c>
      <c r="B119" s="3" t="s">
        <v>17</v>
      </c>
      <c r="C119" s="3">
        <v>18</v>
      </c>
      <c r="D119" s="3" t="s">
        <v>18</v>
      </c>
      <c r="E119" s="3" t="s">
        <v>31</v>
      </c>
      <c r="F119" s="3" t="s">
        <v>20</v>
      </c>
      <c r="G119" s="3" t="s">
        <v>21</v>
      </c>
      <c r="H119" s="3" t="s">
        <v>21</v>
      </c>
      <c r="I119" s="3" t="s">
        <v>22</v>
      </c>
      <c r="J119" s="3" t="s">
        <v>21</v>
      </c>
      <c r="K119" s="3" t="s">
        <v>21</v>
      </c>
      <c r="L119" s="3">
        <v>2</v>
      </c>
      <c r="M119" s="3">
        <v>1</v>
      </c>
      <c r="N119" s="3">
        <v>6</v>
      </c>
      <c r="O119" s="3">
        <v>9</v>
      </c>
      <c r="P119" s="3" t="b">
        <f>TRUE()</f>
        <v>1</v>
      </c>
    </row>
    <row r="120" spans="1:16" ht="15" customHeight="1">
      <c r="A120" s="3" t="s">
        <v>143</v>
      </c>
      <c r="B120" s="3" t="s">
        <v>24</v>
      </c>
      <c r="C120" s="3">
        <v>16</v>
      </c>
      <c r="D120" s="3" t="s">
        <v>18</v>
      </c>
      <c r="E120" s="3" t="s">
        <v>19</v>
      </c>
      <c r="F120" s="3" t="s">
        <v>31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>
        <v>2</v>
      </c>
      <c r="M120" s="3">
        <v>3</v>
      </c>
      <c r="N120" s="3">
        <v>12</v>
      </c>
      <c r="O120" s="3">
        <v>6</v>
      </c>
      <c r="P120" s="3" t="b">
        <f>TRUE()</f>
        <v>1</v>
      </c>
    </row>
    <row r="121" spans="1:16" ht="15" customHeight="1">
      <c r="A121" s="3" t="s">
        <v>144</v>
      </c>
      <c r="B121" s="3" t="s">
        <v>17</v>
      </c>
      <c r="C121" s="3">
        <v>19</v>
      </c>
      <c r="D121" s="3" t="s">
        <v>18</v>
      </c>
      <c r="E121" s="3" t="s">
        <v>19</v>
      </c>
      <c r="F121" s="3" t="s">
        <v>19</v>
      </c>
      <c r="G121" s="3" t="s">
        <v>21</v>
      </c>
      <c r="H121" s="3" t="s">
        <v>22</v>
      </c>
      <c r="I121" s="3" t="s">
        <v>21</v>
      </c>
      <c r="J121" s="3" t="s">
        <v>21</v>
      </c>
      <c r="K121" s="3" t="s">
        <v>21</v>
      </c>
      <c r="L121" s="3">
        <v>1</v>
      </c>
      <c r="M121" s="3">
        <v>0</v>
      </c>
      <c r="N121" s="3">
        <v>4</v>
      </c>
      <c r="O121" s="3">
        <v>15</v>
      </c>
      <c r="P121" s="3" t="b">
        <f>FALSE()</f>
        <v>0</v>
      </c>
    </row>
    <row r="122" spans="1:16" ht="15" customHeight="1">
      <c r="A122" s="3" t="s">
        <v>145</v>
      </c>
      <c r="B122" s="3" t="s">
        <v>17</v>
      </c>
      <c r="C122" s="3">
        <v>16</v>
      </c>
      <c r="D122" s="3" t="s">
        <v>18</v>
      </c>
      <c r="E122" s="3" t="s">
        <v>31</v>
      </c>
      <c r="F122" s="3" t="s">
        <v>20</v>
      </c>
      <c r="G122" s="3" t="s">
        <v>22</v>
      </c>
      <c r="H122" s="3" t="s">
        <v>22</v>
      </c>
      <c r="I122" s="3" t="s">
        <v>22</v>
      </c>
      <c r="J122" s="3" t="s">
        <v>21</v>
      </c>
      <c r="K122" s="3" t="s">
        <v>21</v>
      </c>
      <c r="L122" s="3">
        <v>2</v>
      </c>
      <c r="M122" s="3">
        <v>3</v>
      </c>
      <c r="N122" s="3">
        <v>16</v>
      </c>
      <c r="O122" s="3">
        <v>5</v>
      </c>
      <c r="P122" s="3" t="b">
        <f>TRUE()</f>
        <v>1</v>
      </c>
    </row>
    <row r="123" spans="1:16" ht="15" customHeight="1">
      <c r="A123" s="3" t="s">
        <v>146</v>
      </c>
      <c r="B123" s="3" t="s">
        <v>17</v>
      </c>
      <c r="C123" s="3">
        <v>22</v>
      </c>
      <c r="D123" s="3" t="s">
        <v>25</v>
      </c>
      <c r="E123" s="3"/>
      <c r="F123" s="3" t="s">
        <v>20</v>
      </c>
      <c r="G123" s="3" t="s">
        <v>21</v>
      </c>
      <c r="H123" s="3" t="s">
        <v>22</v>
      </c>
      <c r="I123" s="3" t="s">
        <v>21</v>
      </c>
      <c r="J123" s="3" t="s">
        <v>21</v>
      </c>
      <c r="K123" s="3" t="s">
        <v>21</v>
      </c>
      <c r="L123" s="3">
        <v>2</v>
      </c>
      <c r="M123" s="3">
        <v>0</v>
      </c>
      <c r="N123" s="3">
        <v>1</v>
      </c>
      <c r="O123" s="3">
        <v>16</v>
      </c>
      <c r="P123" s="3" t="b">
        <f>FALSE()</f>
        <v>0</v>
      </c>
    </row>
    <row r="124" spans="1:16" ht="15" customHeight="1">
      <c r="A124" s="3" t="s">
        <v>147</v>
      </c>
      <c r="B124" s="3" t="s">
        <v>24</v>
      </c>
      <c r="C124" s="3">
        <v>21</v>
      </c>
      <c r="D124" s="3" t="s">
        <v>18</v>
      </c>
      <c r="E124" s="3" t="s">
        <v>31</v>
      </c>
      <c r="F124" s="3" t="s">
        <v>19</v>
      </c>
      <c r="G124" s="3" t="s">
        <v>21</v>
      </c>
      <c r="H124" s="3" t="s">
        <v>22</v>
      </c>
      <c r="I124" s="3" t="s">
        <v>21</v>
      </c>
      <c r="J124" s="3" t="s">
        <v>21</v>
      </c>
      <c r="K124" s="3" t="s">
        <v>21</v>
      </c>
      <c r="L124" s="3">
        <v>1</v>
      </c>
      <c r="M124" s="3">
        <v>0</v>
      </c>
      <c r="N124" s="3">
        <v>8</v>
      </c>
      <c r="O124" s="3">
        <v>16</v>
      </c>
      <c r="P124" s="3" t="b">
        <f>FALSE()</f>
        <v>0</v>
      </c>
    </row>
    <row r="125" spans="1:16" ht="15" customHeight="1">
      <c r="A125" s="3" t="s">
        <v>148</v>
      </c>
      <c r="B125" s="3" t="s">
        <v>24</v>
      </c>
      <c r="C125" s="3">
        <v>15</v>
      </c>
      <c r="D125" s="3" t="s">
        <v>25</v>
      </c>
      <c r="E125" s="3" t="s">
        <v>20</v>
      </c>
      <c r="F125" s="3" t="s">
        <v>31</v>
      </c>
      <c r="G125" s="3" t="s">
        <v>21</v>
      </c>
      <c r="H125" s="3" t="s">
        <v>22</v>
      </c>
      <c r="I125" s="3" t="s">
        <v>22</v>
      </c>
      <c r="J125" s="3" t="s">
        <v>21</v>
      </c>
      <c r="K125" s="3" t="s">
        <v>21</v>
      </c>
      <c r="L125" s="3">
        <v>4</v>
      </c>
      <c r="M125" s="3">
        <v>1</v>
      </c>
      <c r="N125" s="3">
        <v>11</v>
      </c>
      <c r="O125" s="3">
        <v>10</v>
      </c>
      <c r="P125" s="3" t="b">
        <f>FALSE()</f>
        <v>0</v>
      </c>
    </row>
    <row r="126" spans="1:16" ht="15" customHeight="1">
      <c r="A126" s="3" t="s">
        <v>149</v>
      </c>
      <c r="B126" s="3" t="s">
        <v>24</v>
      </c>
      <c r="C126" s="3">
        <v>21</v>
      </c>
      <c r="D126" s="3" t="s">
        <v>25</v>
      </c>
      <c r="E126" s="3" t="s">
        <v>31</v>
      </c>
      <c r="F126" s="3" t="s">
        <v>20</v>
      </c>
      <c r="G126" s="3" t="s">
        <v>21</v>
      </c>
      <c r="H126" s="3" t="s">
        <v>22</v>
      </c>
      <c r="I126" s="3" t="s">
        <v>21</v>
      </c>
      <c r="J126" s="3" t="s">
        <v>21</v>
      </c>
      <c r="K126" s="3" t="s">
        <v>21</v>
      </c>
      <c r="L126" s="3">
        <v>2</v>
      </c>
      <c r="M126" s="3">
        <v>1</v>
      </c>
      <c r="N126" s="3">
        <v>7</v>
      </c>
      <c r="O126" s="3">
        <v>9</v>
      </c>
      <c r="P126" s="3" t="b">
        <f>FALSE()</f>
        <v>0</v>
      </c>
    </row>
    <row r="127" spans="1:16" ht="15" customHeight="1">
      <c r="A127" s="3" t="s">
        <v>150</v>
      </c>
      <c r="B127" s="3" t="s">
        <v>24</v>
      </c>
      <c r="C127" s="3">
        <v>15</v>
      </c>
      <c r="D127" s="3" t="s">
        <v>18</v>
      </c>
      <c r="E127" s="3" t="s">
        <v>31</v>
      </c>
      <c r="F127" s="3" t="s">
        <v>31</v>
      </c>
      <c r="G127" s="3" t="s">
        <v>21</v>
      </c>
      <c r="H127" s="3" t="s">
        <v>22</v>
      </c>
      <c r="I127" s="3" t="s">
        <v>21</v>
      </c>
      <c r="J127" s="3" t="s">
        <v>21</v>
      </c>
      <c r="K127" s="3" t="s">
        <v>21</v>
      </c>
      <c r="L127" s="3">
        <v>3</v>
      </c>
      <c r="M127" s="3">
        <v>1</v>
      </c>
      <c r="N127" s="3">
        <v>6</v>
      </c>
      <c r="O127" s="3">
        <v>11</v>
      </c>
      <c r="P127" s="3" t="b">
        <f>FALSE()</f>
        <v>0</v>
      </c>
    </row>
    <row r="128" spans="1:16" ht="15" customHeight="1">
      <c r="A128" s="3" t="s">
        <v>151</v>
      </c>
      <c r="B128" s="3" t="s">
        <v>24</v>
      </c>
      <c r="C128" s="3">
        <v>20</v>
      </c>
      <c r="D128" s="3" t="s">
        <v>25</v>
      </c>
      <c r="E128" s="3" t="s">
        <v>20</v>
      </c>
      <c r="F128" s="3" t="s">
        <v>20</v>
      </c>
      <c r="G128" s="3" t="s">
        <v>21</v>
      </c>
      <c r="H128" s="3" t="s">
        <v>22</v>
      </c>
      <c r="I128" s="3" t="s">
        <v>22</v>
      </c>
      <c r="J128" s="3" t="s">
        <v>22</v>
      </c>
      <c r="K128" s="3" t="s">
        <v>21</v>
      </c>
      <c r="L128" s="3">
        <v>2</v>
      </c>
      <c r="M128" s="3">
        <v>0</v>
      </c>
      <c r="N128" s="3">
        <v>1</v>
      </c>
      <c r="O128" s="3">
        <v>13</v>
      </c>
      <c r="P128" s="3" t="b">
        <f>FALSE()</f>
        <v>0</v>
      </c>
    </row>
    <row r="129" spans="1:16" ht="15" customHeight="1">
      <c r="A129" s="3" t="s">
        <v>152</v>
      </c>
      <c r="B129" s="3" t="s">
        <v>24</v>
      </c>
      <c r="C129" s="3">
        <v>15</v>
      </c>
      <c r="D129" s="3" t="s">
        <v>18</v>
      </c>
      <c r="E129" s="3" t="s">
        <v>20</v>
      </c>
      <c r="F129" s="3" t="s">
        <v>20</v>
      </c>
      <c r="G129" s="3" t="s">
        <v>22</v>
      </c>
      <c r="H129" s="3" t="s">
        <v>22</v>
      </c>
      <c r="I129" s="3" t="s">
        <v>21</v>
      </c>
      <c r="J129" s="3" t="s">
        <v>22</v>
      </c>
      <c r="K129" s="3" t="s">
        <v>21</v>
      </c>
      <c r="L129" s="3">
        <v>3</v>
      </c>
      <c r="M129" s="3">
        <v>0</v>
      </c>
      <c r="N129" s="3">
        <v>5</v>
      </c>
      <c r="O129" s="3">
        <v>9</v>
      </c>
      <c r="P129" s="3" t="b">
        <f>FALSE()</f>
        <v>0</v>
      </c>
    </row>
    <row r="130" spans="1:16" ht="15" customHeight="1">
      <c r="A130" s="3" t="s">
        <v>153</v>
      </c>
      <c r="B130" s="3" t="s">
        <v>24</v>
      </c>
      <c r="C130" s="3">
        <v>18</v>
      </c>
      <c r="D130" s="3" t="s">
        <v>25</v>
      </c>
      <c r="E130" s="3" t="s">
        <v>20</v>
      </c>
      <c r="F130" s="3" t="s">
        <v>19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>
        <v>3</v>
      </c>
      <c r="M130" s="3">
        <v>0</v>
      </c>
      <c r="N130" s="3">
        <v>8</v>
      </c>
      <c r="O130" s="3">
        <v>14</v>
      </c>
      <c r="P130" s="3" t="b">
        <f>FALSE()</f>
        <v>0</v>
      </c>
    </row>
    <row r="131" spans="1:16" ht="15" customHeight="1">
      <c r="A131" s="3" t="s">
        <v>154</v>
      </c>
      <c r="B131" s="3" t="s">
        <v>17</v>
      </c>
      <c r="C131" s="3">
        <v>20</v>
      </c>
      <c r="D131" s="3" t="s">
        <v>18</v>
      </c>
      <c r="E131" s="3" t="s">
        <v>20</v>
      </c>
      <c r="F131" s="3" t="s">
        <v>19</v>
      </c>
      <c r="G131" s="3" t="s">
        <v>21</v>
      </c>
      <c r="H131" s="3" t="s">
        <v>22</v>
      </c>
      <c r="I131" s="3" t="s">
        <v>21</v>
      </c>
      <c r="J131" s="3" t="s">
        <v>22</v>
      </c>
      <c r="K131" s="3" t="s">
        <v>21</v>
      </c>
      <c r="L131" s="3">
        <v>3</v>
      </c>
      <c r="M131" s="3">
        <v>0</v>
      </c>
      <c r="N131" s="3">
        <v>7</v>
      </c>
      <c r="O131" s="3">
        <v>13</v>
      </c>
      <c r="P131" s="3" t="b">
        <f>TRUE()</f>
        <v>1</v>
      </c>
    </row>
    <row r="132" spans="1:16" ht="15" customHeight="1">
      <c r="A132" s="3" t="s">
        <v>155</v>
      </c>
      <c r="B132" s="3" t="s">
        <v>24</v>
      </c>
      <c r="C132" s="3">
        <v>20</v>
      </c>
      <c r="D132" s="3" t="s">
        <v>18</v>
      </c>
      <c r="E132" s="3" t="s">
        <v>20</v>
      </c>
      <c r="F132" s="3" t="s">
        <v>31</v>
      </c>
      <c r="G132" s="3" t="s">
        <v>21</v>
      </c>
      <c r="H132" s="3" t="s">
        <v>21</v>
      </c>
      <c r="I132" s="3" t="s">
        <v>21</v>
      </c>
      <c r="J132" s="3" t="s">
        <v>22</v>
      </c>
      <c r="K132" s="3" t="s">
        <v>21</v>
      </c>
      <c r="L132" s="3">
        <v>2</v>
      </c>
      <c r="M132" s="3">
        <v>0</v>
      </c>
      <c r="N132" s="3">
        <v>7</v>
      </c>
      <c r="O132" s="3">
        <v>15</v>
      </c>
      <c r="P132" s="3" t="b">
        <f>FALSE()</f>
        <v>0</v>
      </c>
    </row>
    <row r="133" spans="1:16" ht="15" customHeight="1">
      <c r="A133" s="3" t="s">
        <v>156</v>
      </c>
      <c r="B133" s="3" t="s">
        <v>17</v>
      </c>
      <c r="C133" s="3">
        <v>18</v>
      </c>
      <c r="D133" s="3" t="s">
        <v>18</v>
      </c>
      <c r="E133" s="3" t="s">
        <v>20</v>
      </c>
      <c r="F133" s="3" t="s">
        <v>19</v>
      </c>
      <c r="G133" s="3" t="s">
        <v>21</v>
      </c>
      <c r="H133" s="3" t="s">
        <v>22</v>
      </c>
      <c r="I133" s="3" t="s">
        <v>21</v>
      </c>
      <c r="J133" s="3" t="s">
        <v>21</v>
      </c>
      <c r="K133" s="3" t="s">
        <v>21</v>
      </c>
      <c r="L133" s="3">
        <v>1</v>
      </c>
      <c r="M133" s="3">
        <v>0</v>
      </c>
      <c r="N133" s="3">
        <v>4</v>
      </c>
      <c r="O133" s="3">
        <v>13</v>
      </c>
      <c r="P133" s="3" t="b">
        <f>FALSE()</f>
        <v>0</v>
      </c>
    </row>
    <row r="134" spans="1:16" ht="15" customHeight="1">
      <c r="A134" s="3" t="s">
        <v>157</v>
      </c>
      <c r="B134" s="3" t="s">
        <v>17</v>
      </c>
      <c r="C134" s="3">
        <v>22</v>
      </c>
      <c r="D134" s="3" t="s">
        <v>18</v>
      </c>
      <c r="E134" s="3" t="s">
        <v>31</v>
      </c>
      <c r="F134" s="3" t="s">
        <v>19</v>
      </c>
      <c r="G134" s="3" t="s">
        <v>21</v>
      </c>
      <c r="H134" s="3" t="s">
        <v>21</v>
      </c>
      <c r="I134" s="3" t="s">
        <v>22</v>
      </c>
      <c r="J134" s="3" t="s">
        <v>21</v>
      </c>
      <c r="K134" s="3" t="s">
        <v>21</v>
      </c>
      <c r="L134" s="3">
        <v>1</v>
      </c>
      <c r="M134" s="3">
        <v>0</v>
      </c>
      <c r="N134" s="3">
        <v>5</v>
      </c>
      <c r="O134" s="3">
        <v>11</v>
      </c>
      <c r="P134" s="3" t="b">
        <f>FALSE()</f>
        <v>0</v>
      </c>
    </row>
    <row r="135" spans="1:16" ht="15" customHeight="1">
      <c r="A135" s="3" t="s">
        <v>158</v>
      </c>
      <c r="B135" s="3" t="s">
        <v>24</v>
      </c>
      <c r="C135" s="3">
        <v>21</v>
      </c>
      <c r="D135" s="3" t="s">
        <v>18</v>
      </c>
      <c r="E135" s="3" t="s">
        <v>20</v>
      </c>
      <c r="F135" s="3" t="s">
        <v>19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>
        <v>2</v>
      </c>
      <c r="M135" s="3">
        <v>0</v>
      </c>
      <c r="N135" s="3">
        <v>7</v>
      </c>
      <c r="O135" s="3">
        <v>15</v>
      </c>
      <c r="P135" s="3" t="b">
        <f>FALSE()</f>
        <v>0</v>
      </c>
    </row>
    <row r="136" spans="1:16" ht="15" customHeight="1">
      <c r="A136" s="3" t="s">
        <v>159</v>
      </c>
      <c r="B136" s="3" t="s">
        <v>17</v>
      </c>
      <c r="C136" s="3">
        <v>16</v>
      </c>
      <c r="D136" s="3" t="s">
        <v>25</v>
      </c>
      <c r="E136" s="3" t="s">
        <v>19</v>
      </c>
      <c r="F136" s="3" t="s">
        <v>19</v>
      </c>
      <c r="G136" s="3" t="s">
        <v>21</v>
      </c>
      <c r="H136" s="3" t="s">
        <v>21</v>
      </c>
      <c r="I136" s="3" t="s">
        <v>22</v>
      </c>
      <c r="J136" s="3" t="s">
        <v>21</v>
      </c>
      <c r="K136" s="3" t="s">
        <v>21</v>
      </c>
      <c r="L136" s="3">
        <v>1</v>
      </c>
      <c r="M136" s="3">
        <v>0</v>
      </c>
      <c r="N136" s="3">
        <v>8</v>
      </c>
      <c r="O136" s="3">
        <v>13</v>
      </c>
      <c r="P136" s="3" t="b">
        <f>FALSE()</f>
        <v>0</v>
      </c>
    </row>
    <row r="137" spans="1:16" ht="15" customHeight="1">
      <c r="A137" s="3" t="s">
        <v>160</v>
      </c>
      <c r="B137" s="3" t="s">
        <v>24</v>
      </c>
      <c r="C137" s="3">
        <v>20</v>
      </c>
      <c r="D137" s="3" t="s">
        <v>18</v>
      </c>
      <c r="E137" s="3" t="s">
        <v>20</v>
      </c>
      <c r="F137" s="3" t="s">
        <v>31</v>
      </c>
      <c r="G137" s="3" t="s">
        <v>21</v>
      </c>
      <c r="H137" s="3" t="s">
        <v>22</v>
      </c>
      <c r="I137" s="3" t="s">
        <v>21</v>
      </c>
      <c r="J137" s="3" t="s">
        <v>22</v>
      </c>
      <c r="K137" s="3" t="s">
        <v>21</v>
      </c>
      <c r="L137" s="3">
        <v>1</v>
      </c>
      <c r="M137" s="3">
        <v>0</v>
      </c>
      <c r="N137" s="3">
        <v>5</v>
      </c>
      <c r="O137" s="3">
        <v>11</v>
      </c>
      <c r="P137" s="3" t="b">
        <f>FALSE()</f>
        <v>0</v>
      </c>
    </row>
    <row r="138" spans="1:16" ht="15" customHeight="1">
      <c r="A138" s="3" t="s">
        <v>161</v>
      </c>
      <c r="B138" s="3" t="s">
        <v>17</v>
      </c>
      <c r="C138" s="3">
        <v>20</v>
      </c>
      <c r="D138" s="3" t="s">
        <v>18</v>
      </c>
      <c r="E138" s="3" t="s">
        <v>20</v>
      </c>
      <c r="F138" s="3" t="s">
        <v>20</v>
      </c>
      <c r="G138" s="3" t="s">
        <v>22</v>
      </c>
      <c r="H138" s="3" t="s">
        <v>21</v>
      </c>
      <c r="I138" s="3" t="s">
        <v>21</v>
      </c>
      <c r="J138" s="3" t="s">
        <v>22</v>
      </c>
      <c r="K138" s="3" t="s">
        <v>21</v>
      </c>
      <c r="L138" s="3">
        <v>1</v>
      </c>
      <c r="M138" s="3">
        <v>0</v>
      </c>
      <c r="N138" s="3">
        <v>7</v>
      </c>
      <c r="O138" s="3">
        <v>11</v>
      </c>
      <c r="P138" s="3" t="b">
        <f>FALSE()</f>
        <v>0</v>
      </c>
    </row>
    <row r="139" spans="1:16" ht="15" customHeight="1">
      <c r="A139" s="3" t="s">
        <v>162</v>
      </c>
      <c r="B139" s="3" t="s">
        <v>24</v>
      </c>
      <c r="C139" s="3">
        <v>17</v>
      </c>
      <c r="D139" s="3" t="s">
        <v>18</v>
      </c>
      <c r="E139" s="3" t="s">
        <v>19</v>
      </c>
      <c r="F139" s="3" t="s">
        <v>31</v>
      </c>
      <c r="G139" s="3" t="s">
        <v>21</v>
      </c>
      <c r="H139" s="3" t="s">
        <v>22</v>
      </c>
      <c r="I139" s="3" t="s">
        <v>21</v>
      </c>
      <c r="J139" s="3" t="s">
        <v>21</v>
      </c>
      <c r="K139" s="3" t="s">
        <v>21</v>
      </c>
      <c r="L139" s="3">
        <v>2</v>
      </c>
      <c r="M139" s="3">
        <v>0</v>
      </c>
      <c r="N139" s="3">
        <v>3</v>
      </c>
      <c r="O139" s="3">
        <v>9</v>
      </c>
      <c r="P139" s="3" t="b">
        <f>FALSE()</f>
        <v>0</v>
      </c>
    </row>
    <row r="140" spans="1:16" ht="15" customHeight="1">
      <c r="A140" s="3" t="s">
        <v>163</v>
      </c>
      <c r="B140" s="3" t="s">
        <v>17</v>
      </c>
      <c r="C140" s="3">
        <v>20</v>
      </c>
      <c r="D140" s="3" t="s">
        <v>18</v>
      </c>
      <c r="E140" s="3" t="s">
        <v>19</v>
      </c>
      <c r="F140" s="3" t="s">
        <v>19</v>
      </c>
      <c r="G140" s="3" t="s">
        <v>22</v>
      </c>
      <c r="H140" s="3" t="s">
        <v>22</v>
      </c>
      <c r="I140" s="3" t="s">
        <v>22</v>
      </c>
      <c r="J140" s="3" t="s">
        <v>22</v>
      </c>
      <c r="K140" s="3" t="s">
        <v>21</v>
      </c>
      <c r="L140" s="3">
        <v>1</v>
      </c>
      <c r="M140" s="3">
        <v>0</v>
      </c>
      <c r="N140" s="3">
        <v>3</v>
      </c>
      <c r="O140" s="3">
        <v>9</v>
      </c>
      <c r="P140" s="3" t="b">
        <f>FALSE()</f>
        <v>0</v>
      </c>
    </row>
    <row r="141" spans="1:16" ht="15" customHeight="1">
      <c r="A141" s="3" t="s">
        <v>164</v>
      </c>
      <c r="B141" s="3" t="s">
        <v>24</v>
      </c>
      <c r="C141" s="3">
        <v>22</v>
      </c>
      <c r="D141" s="3" t="s">
        <v>18</v>
      </c>
      <c r="E141" s="3" t="s">
        <v>20</v>
      </c>
      <c r="F141" s="3" t="s">
        <v>20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>
        <v>2</v>
      </c>
      <c r="M141" s="3">
        <v>0</v>
      </c>
      <c r="N141" s="3">
        <v>5</v>
      </c>
      <c r="O141" s="3">
        <v>12</v>
      </c>
      <c r="P141" s="3" t="b">
        <f>FALSE()</f>
        <v>0</v>
      </c>
    </row>
    <row r="142" spans="1:16" ht="15" customHeight="1">
      <c r="A142" s="3" t="s">
        <v>165</v>
      </c>
      <c r="B142" s="3" t="s">
        <v>24</v>
      </c>
      <c r="C142" s="3">
        <v>21</v>
      </c>
      <c r="D142" s="3" t="s">
        <v>25</v>
      </c>
      <c r="E142" s="3" t="s">
        <v>20</v>
      </c>
      <c r="F142" s="3" t="s">
        <v>20</v>
      </c>
      <c r="G142" s="3" t="s">
        <v>21</v>
      </c>
      <c r="H142" s="3" t="s">
        <v>22</v>
      </c>
      <c r="I142" s="3" t="s">
        <v>21</v>
      </c>
      <c r="J142" s="3" t="s">
        <v>22</v>
      </c>
      <c r="K142" s="3" t="s">
        <v>22</v>
      </c>
      <c r="L142" s="3">
        <v>3</v>
      </c>
      <c r="M142" s="3">
        <v>0</v>
      </c>
      <c r="N142" s="3">
        <v>3</v>
      </c>
      <c r="O142" s="3">
        <v>15</v>
      </c>
      <c r="P142" s="3" t="b">
        <f>FALSE()</f>
        <v>0</v>
      </c>
    </row>
    <row r="143" spans="1:16" ht="15" customHeight="1">
      <c r="A143" s="3" t="s">
        <v>166</v>
      </c>
      <c r="B143" s="3" t="s">
        <v>24</v>
      </c>
      <c r="C143" s="3">
        <v>21</v>
      </c>
      <c r="D143" s="3" t="s">
        <v>18</v>
      </c>
      <c r="E143" s="3" t="s">
        <v>31</v>
      </c>
      <c r="F143" s="3" t="s">
        <v>20</v>
      </c>
      <c r="G143" s="3" t="s">
        <v>21</v>
      </c>
      <c r="H143" s="3" t="s">
        <v>21</v>
      </c>
      <c r="I143" s="3" t="s">
        <v>22</v>
      </c>
      <c r="J143" s="3" t="s">
        <v>22</v>
      </c>
      <c r="K143" s="3" t="s">
        <v>21</v>
      </c>
      <c r="L143" s="3">
        <v>3</v>
      </c>
      <c r="M143" s="3">
        <v>1</v>
      </c>
      <c r="N143" s="3">
        <v>7</v>
      </c>
      <c r="O143" s="3">
        <v>10</v>
      </c>
      <c r="P143" s="3" t="b">
        <f>FALSE()</f>
        <v>0</v>
      </c>
    </row>
    <row r="144" spans="1:16" ht="15" customHeight="1">
      <c r="A144" s="3" t="s">
        <v>167</v>
      </c>
      <c r="B144" s="3" t="s">
        <v>17</v>
      </c>
      <c r="C144" s="3">
        <v>20</v>
      </c>
      <c r="D144" s="3" t="s">
        <v>18</v>
      </c>
      <c r="E144" s="3" t="s">
        <v>19</v>
      </c>
      <c r="F144" s="3" t="s">
        <v>31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>
        <v>2</v>
      </c>
      <c r="M144" s="3">
        <v>0</v>
      </c>
      <c r="N144" s="3">
        <v>5</v>
      </c>
      <c r="O144" s="3">
        <v>13</v>
      </c>
      <c r="P144" s="3" t="b">
        <f>FALSE()</f>
        <v>0</v>
      </c>
    </row>
    <row r="145" spans="1:16" ht="15" customHeight="1">
      <c r="A145" s="3" t="s">
        <v>168</v>
      </c>
      <c r="B145" s="3" t="s">
        <v>17</v>
      </c>
      <c r="C145" s="3">
        <v>17</v>
      </c>
      <c r="D145" s="3" t="s">
        <v>18</v>
      </c>
      <c r="E145" s="3" t="s">
        <v>19</v>
      </c>
      <c r="F145" s="3" t="s">
        <v>31</v>
      </c>
      <c r="G145" s="3" t="s">
        <v>21</v>
      </c>
      <c r="H145" s="3" t="s">
        <v>22</v>
      </c>
      <c r="I145" s="3" t="s">
        <v>21</v>
      </c>
      <c r="J145" s="3" t="s">
        <v>21</v>
      </c>
      <c r="K145" s="3" t="s">
        <v>22</v>
      </c>
      <c r="L145" s="3">
        <v>2</v>
      </c>
      <c r="M145" s="3">
        <v>0</v>
      </c>
      <c r="N145" s="3">
        <v>6</v>
      </c>
      <c r="O145" s="3">
        <v>11</v>
      </c>
      <c r="P145" s="3" t="b">
        <f>FALSE()</f>
        <v>0</v>
      </c>
    </row>
    <row r="146" spans="1:16" ht="15" customHeight="1">
      <c r="A146" s="3" t="s">
        <v>169</v>
      </c>
      <c r="B146" s="3" t="s">
        <v>24</v>
      </c>
      <c r="C146" s="3">
        <v>21</v>
      </c>
      <c r="D146" s="3" t="s">
        <v>18</v>
      </c>
      <c r="E146" s="3" t="s">
        <v>31</v>
      </c>
      <c r="F146" s="3" t="s">
        <v>31</v>
      </c>
      <c r="G146" s="3" t="s">
        <v>21</v>
      </c>
      <c r="H146" s="3" t="s">
        <v>22</v>
      </c>
      <c r="I146" s="3" t="s">
        <v>22</v>
      </c>
      <c r="J146" s="3" t="s">
        <v>22</v>
      </c>
      <c r="K146" s="3" t="s">
        <v>21</v>
      </c>
      <c r="L146" s="3">
        <v>2</v>
      </c>
      <c r="M146" s="3">
        <v>0</v>
      </c>
      <c r="N146" s="3">
        <v>6</v>
      </c>
      <c r="O146" s="3">
        <v>13</v>
      </c>
      <c r="P146" s="3" t="b">
        <f>FALSE()</f>
        <v>0</v>
      </c>
    </row>
    <row r="147" spans="1:16" ht="15" customHeight="1">
      <c r="A147" s="3" t="s">
        <v>170</v>
      </c>
      <c r="B147" s="3" t="s">
        <v>24</v>
      </c>
      <c r="C147" s="3">
        <v>17</v>
      </c>
      <c r="D147" s="3" t="s">
        <v>18</v>
      </c>
      <c r="E147" s="3" t="s">
        <v>31</v>
      </c>
      <c r="F147" s="3" t="s">
        <v>19</v>
      </c>
      <c r="G147" s="3" t="s">
        <v>21</v>
      </c>
      <c r="H147" s="3" t="s">
        <v>21</v>
      </c>
      <c r="I147" s="3" t="s">
        <v>21</v>
      </c>
      <c r="J147" s="3" t="s">
        <v>22</v>
      </c>
      <c r="K147" s="3" t="s">
        <v>21</v>
      </c>
      <c r="L147" s="3">
        <v>2</v>
      </c>
      <c r="M147" s="3">
        <v>3</v>
      </c>
      <c r="N147" s="3">
        <v>9</v>
      </c>
      <c r="O147" s="3">
        <v>7</v>
      </c>
      <c r="P147" s="3" t="b">
        <f>TRUE()</f>
        <v>1</v>
      </c>
    </row>
    <row r="148" spans="1:16" ht="15" customHeight="1">
      <c r="A148" s="3" t="s">
        <v>171</v>
      </c>
      <c r="B148" s="3" t="s">
        <v>24</v>
      </c>
      <c r="C148" s="3">
        <v>19</v>
      </c>
      <c r="D148" s="3" t="s">
        <v>25</v>
      </c>
      <c r="E148" s="3" t="s">
        <v>19</v>
      </c>
      <c r="F148" s="3" t="s">
        <v>19</v>
      </c>
      <c r="G148" s="3" t="s">
        <v>22</v>
      </c>
      <c r="H148" s="3" t="s">
        <v>22</v>
      </c>
      <c r="I148" s="3" t="s">
        <v>21</v>
      </c>
      <c r="J148" s="3" t="s">
        <v>21</v>
      </c>
      <c r="K148" s="3" t="s">
        <v>21</v>
      </c>
      <c r="L148" s="3">
        <v>2</v>
      </c>
      <c r="M148" s="3">
        <v>1</v>
      </c>
      <c r="N148" s="3">
        <v>8</v>
      </c>
      <c r="O148" s="3">
        <v>11</v>
      </c>
      <c r="P148" s="3" t="b">
        <f>FALSE()</f>
        <v>0</v>
      </c>
    </row>
    <row r="149" spans="1:16" ht="15" customHeight="1">
      <c r="A149" s="3" t="s">
        <v>172</v>
      </c>
      <c r="B149" s="3" t="s">
        <v>17</v>
      </c>
      <c r="C149" s="3">
        <v>17</v>
      </c>
      <c r="D149" s="3" t="s">
        <v>18</v>
      </c>
      <c r="E149" s="3" t="s">
        <v>19</v>
      </c>
      <c r="F149" s="3" t="s">
        <v>20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>
        <v>1</v>
      </c>
      <c r="M149" s="3">
        <v>0</v>
      </c>
      <c r="N149" s="3">
        <v>7</v>
      </c>
      <c r="O149" s="3">
        <v>12</v>
      </c>
      <c r="P149" s="3" t="b">
        <f>FALSE()</f>
        <v>0</v>
      </c>
    </row>
    <row r="150" spans="1:16" ht="15" customHeight="1">
      <c r="A150" s="3" t="s">
        <v>173</v>
      </c>
      <c r="B150" s="3" t="s">
        <v>24</v>
      </c>
      <c r="C150" s="3">
        <v>17</v>
      </c>
      <c r="D150" s="3" t="s">
        <v>25</v>
      </c>
      <c r="E150" s="3" t="s">
        <v>19</v>
      </c>
      <c r="F150" s="3" t="s">
        <v>19</v>
      </c>
      <c r="G150" s="3" t="s">
        <v>21</v>
      </c>
      <c r="H150" s="3" t="s">
        <v>22</v>
      </c>
      <c r="I150" s="3" t="s">
        <v>21</v>
      </c>
      <c r="J150" s="3" t="s">
        <v>21</v>
      </c>
      <c r="K150" s="3" t="s">
        <v>21</v>
      </c>
      <c r="L150" s="3">
        <v>4</v>
      </c>
      <c r="M150" s="3">
        <v>0</v>
      </c>
      <c r="N150" s="3">
        <v>9</v>
      </c>
      <c r="O150" s="3">
        <v>12</v>
      </c>
      <c r="P150" s="3" t="b">
        <f>FALSE()</f>
        <v>0</v>
      </c>
    </row>
    <row r="151" spans="1:16" ht="15" customHeight="1">
      <c r="A151" s="3" t="s">
        <v>174</v>
      </c>
      <c r="B151" s="3" t="s">
        <v>24</v>
      </c>
      <c r="C151" s="3">
        <v>16</v>
      </c>
      <c r="D151" s="3" t="s">
        <v>18</v>
      </c>
      <c r="E151" s="3" t="s">
        <v>20</v>
      </c>
      <c r="F151" s="3" t="s">
        <v>20</v>
      </c>
      <c r="G151" s="3" t="s">
        <v>21</v>
      </c>
      <c r="H151" s="3" t="s">
        <v>22</v>
      </c>
      <c r="I151" s="3" t="s">
        <v>21</v>
      </c>
      <c r="J151" s="3" t="s">
        <v>22</v>
      </c>
      <c r="K151" s="3" t="s">
        <v>21</v>
      </c>
      <c r="L151" s="3">
        <v>1</v>
      </c>
      <c r="M151" s="3">
        <v>0</v>
      </c>
      <c r="N151" s="3">
        <v>6</v>
      </c>
      <c r="O151" s="3">
        <v>11</v>
      </c>
      <c r="P151" s="3" t="b">
        <f>FALSE()</f>
        <v>0</v>
      </c>
    </row>
    <row r="152" spans="1:16" ht="15" customHeight="1">
      <c r="A152" s="3" t="s">
        <v>175</v>
      </c>
      <c r="B152" s="3" t="s">
        <v>17</v>
      </c>
      <c r="C152" s="3">
        <v>22</v>
      </c>
      <c r="D152" s="3" t="s">
        <v>18</v>
      </c>
      <c r="E152" s="3" t="s">
        <v>20</v>
      </c>
      <c r="F152" s="3" t="s">
        <v>20</v>
      </c>
      <c r="G152" s="3" t="s">
        <v>21</v>
      </c>
      <c r="H152" s="3" t="s">
        <v>22</v>
      </c>
      <c r="I152" s="3" t="s">
        <v>22</v>
      </c>
      <c r="J152" s="3" t="s">
        <v>22</v>
      </c>
      <c r="K152" s="3" t="s">
        <v>21</v>
      </c>
      <c r="L152" s="3">
        <v>3</v>
      </c>
      <c r="M152" s="3">
        <v>2</v>
      </c>
      <c r="N152" s="3">
        <v>10</v>
      </c>
      <c r="O152" s="3">
        <v>7</v>
      </c>
      <c r="P152" s="3" t="b">
        <f>TRUE()</f>
        <v>1</v>
      </c>
    </row>
    <row r="153" spans="1:16" ht="15" customHeight="1">
      <c r="A153" s="3" t="s">
        <v>176</v>
      </c>
      <c r="B153" s="3" t="s">
        <v>17</v>
      </c>
      <c r="C153" s="3">
        <v>16</v>
      </c>
      <c r="D153" s="3" t="s">
        <v>25</v>
      </c>
      <c r="E153" s="3" t="s">
        <v>19</v>
      </c>
      <c r="F153" s="3" t="s">
        <v>20</v>
      </c>
      <c r="G153" s="3" t="s">
        <v>22</v>
      </c>
      <c r="H153" s="3" t="s">
        <v>22</v>
      </c>
      <c r="I153" s="3" t="s">
        <v>21</v>
      </c>
      <c r="J153" s="3" t="s">
        <v>22</v>
      </c>
      <c r="K153" s="3" t="s">
        <v>21</v>
      </c>
      <c r="L153" s="3">
        <v>2</v>
      </c>
      <c r="M153" s="3">
        <v>0</v>
      </c>
      <c r="N153" s="3">
        <v>5</v>
      </c>
      <c r="O153" s="3">
        <v>12</v>
      </c>
      <c r="P153" s="3" t="b">
        <f>FALSE()</f>
        <v>0</v>
      </c>
    </row>
    <row r="154" spans="1:16" ht="15" customHeight="1">
      <c r="A154" s="3" t="s">
        <v>177</v>
      </c>
      <c r="B154" s="3" t="s">
        <v>24</v>
      </c>
      <c r="C154" s="3">
        <v>15</v>
      </c>
      <c r="D154" s="3" t="s">
        <v>25</v>
      </c>
      <c r="E154" s="3"/>
      <c r="F154" s="3" t="s">
        <v>31</v>
      </c>
      <c r="G154" s="3" t="s">
        <v>21</v>
      </c>
      <c r="H154" s="3" t="s">
        <v>21</v>
      </c>
      <c r="I154" s="3" t="s">
        <v>22</v>
      </c>
      <c r="J154" s="3" t="s">
        <v>22</v>
      </c>
      <c r="K154" s="3" t="s">
        <v>21</v>
      </c>
      <c r="L154" s="3">
        <v>1</v>
      </c>
      <c r="M154" s="3">
        <v>0</v>
      </c>
      <c r="N154" s="3">
        <v>5</v>
      </c>
      <c r="O154" s="3">
        <v>12</v>
      </c>
      <c r="P154" s="3" t="b">
        <f>FALSE()</f>
        <v>0</v>
      </c>
    </row>
    <row r="155" spans="1:16" ht="15" customHeight="1">
      <c r="A155" s="3" t="s">
        <v>178</v>
      </c>
      <c r="B155" s="3" t="s">
        <v>17</v>
      </c>
      <c r="C155" s="3">
        <v>22</v>
      </c>
      <c r="D155" s="3" t="s">
        <v>25</v>
      </c>
      <c r="E155" s="3" t="s">
        <v>20</v>
      </c>
      <c r="F155" s="3" t="s">
        <v>20</v>
      </c>
      <c r="G155" s="3" t="s">
        <v>21</v>
      </c>
      <c r="H155" s="3" t="s">
        <v>22</v>
      </c>
      <c r="I155" s="3" t="s">
        <v>22</v>
      </c>
      <c r="J155" s="3" t="s">
        <v>22</v>
      </c>
      <c r="K155" s="3" t="s">
        <v>21</v>
      </c>
      <c r="L155" s="3">
        <v>3</v>
      </c>
      <c r="M155" s="3">
        <v>3</v>
      </c>
      <c r="N155" s="3">
        <v>11</v>
      </c>
      <c r="O155" s="3">
        <v>9</v>
      </c>
      <c r="P155" s="3" t="b">
        <f>TRUE()</f>
        <v>1</v>
      </c>
    </row>
    <row r="156" spans="1:16" ht="15" customHeight="1">
      <c r="A156" s="3" t="s">
        <v>179</v>
      </c>
      <c r="B156" s="3" t="s">
        <v>24</v>
      </c>
      <c r="C156" s="3">
        <v>19</v>
      </c>
      <c r="D156" s="3" t="s">
        <v>25</v>
      </c>
      <c r="E156" s="3" t="s">
        <v>31</v>
      </c>
      <c r="F156" s="3"/>
      <c r="G156" s="3" t="s">
        <v>21</v>
      </c>
      <c r="H156" s="3" t="s">
        <v>22</v>
      </c>
      <c r="I156" s="3" t="s">
        <v>21</v>
      </c>
      <c r="J156" s="3" t="s">
        <v>22</v>
      </c>
      <c r="K156" s="3" t="s">
        <v>21</v>
      </c>
      <c r="L156" s="3">
        <v>1</v>
      </c>
      <c r="M156" s="3">
        <v>1</v>
      </c>
      <c r="N156" s="3">
        <v>6</v>
      </c>
      <c r="O156" s="3">
        <v>11</v>
      </c>
      <c r="P156" s="3" t="b">
        <f>FALSE()</f>
        <v>0</v>
      </c>
    </row>
    <row r="157" spans="1:16" ht="15" customHeight="1">
      <c r="A157" s="3" t="s">
        <v>180</v>
      </c>
      <c r="B157" s="3" t="s">
        <v>17</v>
      </c>
      <c r="C157" s="3">
        <v>18</v>
      </c>
      <c r="D157" s="3" t="s">
        <v>25</v>
      </c>
      <c r="E157" s="3" t="s">
        <v>20</v>
      </c>
      <c r="F157" s="3"/>
      <c r="G157" s="3" t="s">
        <v>21</v>
      </c>
      <c r="H157" s="3" t="s">
        <v>22</v>
      </c>
      <c r="I157" s="3" t="s">
        <v>22</v>
      </c>
      <c r="J157" s="3" t="s">
        <v>21</v>
      </c>
      <c r="K157" s="3" t="s">
        <v>21</v>
      </c>
      <c r="L157" s="3">
        <v>3</v>
      </c>
      <c r="M157" s="3">
        <v>0</v>
      </c>
      <c r="N157" s="3">
        <v>10</v>
      </c>
      <c r="O157" s="3">
        <v>11</v>
      </c>
      <c r="P157" s="3" t="b">
        <f>FALSE()</f>
        <v>0</v>
      </c>
    </row>
    <row r="158" spans="1:16" ht="15" customHeight="1">
      <c r="A158" s="3" t="s">
        <v>181</v>
      </c>
      <c r="B158" s="3" t="s">
        <v>24</v>
      </c>
      <c r="C158" s="3">
        <v>20</v>
      </c>
      <c r="D158" s="3" t="s">
        <v>25</v>
      </c>
      <c r="E158" s="3" t="s">
        <v>20</v>
      </c>
      <c r="F158" s="3" t="s">
        <v>20</v>
      </c>
      <c r="G158" s="3" t="s">
        <v>21</v>
      </c>
      <c r="H158" s="3" t="s">
        <v>21</v>
      </c>
      <c r="I158" s="3" t="s">
        <v>22</v>
      </c>
      <c r="J158" s="3" t="s">
        <v>22</v>
      </c>
      <c r="K158" s="3" t="s">
        <v>22</v>
      </c>
      <c r="L158" s="3">
        <v>2</v>
      </c>
      <c r="M158" s="3">
        <v>0</v>
      </c>
      <c r="N158" s="3">
        <v>6</v>
      </c>
      <c r="O158" s="3">
        <v>14</v>
      </c>
      <c r="P158" s="3" t="b">
        <f>FALSE()</f>
        <v>0</v>
      </c>
    </row>
    <row r="159" spans="1:16" ht="15" customHeight="1">
      <c r="A159" s="3" t="s">
        <v>182</v>
      </c>
      <c r="B159" s="3" t="s">
        <v>17</v>
      </c>
      <c r="C159" s="3">
        <v>18</v>
      </c>
      <c r="D159" s="3" t="s">
        <v>18</v>
      </c>
      <c r="E159" s="3" t="s">
        <v>19</v>
      </c>
      <c r="F159" s="3" t="s">
        <v>20</v>
      </c>
      <c r="G159" s="3" t="s">
        <v>21</v>
      </c>
      <c r="H159" s="3" t="s">
        <v>22</v>
      </c>
      <c r="I159" s="3" t="s">
        <v>22</v>
      </c>
      <c r="J159" s="3" t="s">
        <v>21</v>
      </c>
      <c r="K159" s="3" t="s">
        <v>21</v>
      </c>
      <c r="L159" s="3">
        <v>1</v>
      </c>
      <c r="M159" s="3">
        <v>0</v>
      </c>
      <c r="N159" s="3">
        <v>2</v>
      </c>
      <c r="O159" s="3">
        <v>13</v>
      </c>
      <c r="P159" s="3" t="b">
        <f>FALSE()</f>
        <v>0</v>
      </c>
    </row>
    <row r="160" spans="1:16" ht="15" customHeight="1">
      <c r="A160" s="3" t="s">
        <v>183</v>
      </c>
      <c r="B160" s="3" t="s">
        <v>17</v>
      </c>
      <c r="C160" s="3">
        <v>16</v>
      </c>
      <c r="D160" s="3" t="s">
        <v>25</v>
      </c>
      <c r="E160" s="3" t="s">
        <v>19</v>
      </c>
      <c r="F160" s="3" t="s">
        <v>19</v>
      </c>
      <c r="G160" s="3" t="s">
        <v>21</v>
      </c>
      <c r="H160" s="3" t="s">
        <v>22</v>
      </c>
      <c r="I160" s="3" t="s">
        <v>21</v>
      </c>
      <c r="J160" s="3" t="s">
        <v>21</v>
      </c>
      <c r="K160" s="3" t="s">
        <v>21</v>
      </c>
      <c r="L160" s="3">
        <v>1</v>
      </c>
      <c r="M160" s="3">
        <v>0</v>
      </c>
      <c r="N160" s="3">
        <v>7</v>
      </c>
      <c r="O160" s="3">
        <v>10</v>
      </c>
      <c r="P160" s="3" t="b">
        <f>FALSE()</f>
        <v>0</v>
      </c>
    </row>
    <row r="161" spans="1:16" ht="15" customHeight="1">
      <c r="A161" s="3" t="s">
        <v>184</v>
      </c>
      <c r="B161" s="3" t="s">
        <v>17</v>
      </c>
      <c r="C161" s="3">
        <v>20</v>
      </c>
      <c r="D161" s="3" t="s">
        <v>18</v>
      </c>
      <c r="E161" s="3" t="s">
        <v>19</v>
      </c>
      <c r="F161" s="3" t="s">
        <v>20</v>
      </c>
      <c r="G161" s="3" t="s">
        <v>21</v>
      </c>
      <c r="H161" s="3" t="s">
        <v>21</v>
      </c>
      <c r="I161" s="3" t="s">
        <v>21</v>
      </c>
      <c r="J161" s="3" t="s">
        <v>22</v>
      </c>
      <c r="K161" s="3" t="s">
        <v>21</v>
      </c>
      <c r="L161" s="3">
        <v>3</v>
      </c>
      <c r="M161" s="3">
        <v>0</v>
      </c>
      <c r="N161" s="3">
        <v>2</v>
      </c>
      <c r="O161" s="3">
        <v>17</v>
      </c>
      <c r="P161" s="3" t="b">
        <f>FALSE()</f>
        <v>0</v>
      </c>
    </row>
    <row r="162" spans="1:16" ht="15" customHeight="1">
      <c r="A162" s="3" t="s">
        <v>185</v>
      </c>
      <c r="B162" s="3" t="s">
        <v>24</v>
      </c>
      <c r="C162" s="3">
        <v>16</v>
      </c>
      <c r="D162" s="3" t="s">
        <v>18</v>
      </c>
      <c r="E162" s="3" t="s">
        <v>31</v>
      </c>
      <c r="F162" s="3" t="s">
        <v>31</v>
      </c>
      <c r="G162" s="3" t="s">
        <v>21</v>
      </c>
      <c r="H162" s="3" t="s">
        <v>21</v>
      </c>
      <c r="I162" s="3" t="s">
        <v>21</v>
      </c>
      <c r="J162" s="3" t="s">
        <v>22</v>
      </c>
      <c r="K162" s="3" t="s">
        <v>22</v>
      </c>
      <c r="L162" s="3">
        <v>2</v>
      </c>
      <c r="M162" s="3">
        <v>2</v>
      </c>
      <c r="N162" s="3">
        <v>9</v>
      </c>
      <c r="O162" s="3">
        <v>8</v>
      </c>
      <c r="P162" s="3" t="b">
        <f>TRUE()</f>
        <v>1</v>
      </c>
    </row>
    <row r="163" spans="1:16" ht="15" customHeight="1">
      <c r="A163" s="3" t="s">
        <v>186</v>
      </c>
      <c r="B163" s="3" t="s">
        <v>17</v>
      </c>
      <c r="C163" s="3">
        <v>19</v>
      </c>
      <c r="D163" s="3" t="s">
        <v>18</v>
      </c>
      <c r="E163" s="3" t="s">
        <v>31</v>
      </c>
      <c r="F163" s="3" t="s">
        <v>31</v>
      </c>
      <c r="G163" s="3" t="s">
        <v>21</v>
      </c>
      <c r="H163" s="3" t="s">
        <v>22</v>
      </c>
      <c r="I163" s="3" t="s">
        <v>21</v>
      </c>
      <c r="J163" s="3" t="s">
        <v>22</v>
      </c>
      <c r="K163" s="3" t="s">
        <v>21</v>
      </c>
      <c r="L163" s="3">
        <v>3</v>
      </c>
      <c r="M163" s="3">
        <v>2</v>
      </c>
      <c r="N163" s="3">
        <v>12</v>
      </c>
      <c r="O163" s="3">
        <v>6</v>
      </c>
      <c r="P163" s="3" t="b">
        <f>TRUE()</f>
        <v>1</v>
      </c>
    </row>
    <row r="164" spans="1:16" ht="15" customHeight="1">
      <c r="A164" s="3" t="s">
        <v>187</v>
      </c>
      <c r="B164" s="3" t="s">
        <v>24</v>
      </c>
      <c r="C164" s="3">
        <v>22</v>
      </c>
      <c r="D164" s="3" t="s">
        <v>25</v>
      </c>
      <c r="E164" s="3" t="s">
        <v>31</v>
      </c>
      <c r="F164" s="3" t="s">
        <v>20</v>
      </c>
      <c r="G164" s="3" t="s">
        <v>21</v>
      </c>
      <c r="H164" s="3" t="s">
        <v>22</v>
      </c>
      <c r="I164" s="3" t="s">
        <v>21</v>
      </c>
      <c r="J164" s="3" t="s">
        <v>21</v>
      </c>
      <c r="K164" s="3" t="s">
        <v>21</v>
      </c>
      <c r="L164" s="3">
        <v>3</v>
      </c>
      <c r="M164" s="3">
        <v>0</v>
      </c>
      <c r="N164" s="3">
        <v>7</v>
      </c>
      <c r="O164" s="3">
        <v>15</v>
      </c>
      <c r="P164" s="3" t="b">
        <f>FALSE()</f>
        <v>0</v>
      </c>
    </row>
    <row r="165" spans="1:16" ht="15" customHeight="1">
      <c r="A165" s="3" t="s">
        <v>188</v>
      </c>
      <c r="B165" s="3" t="s">
        <v>24</v>
      </c>
      <c r="C165" s="3">
        <v>22</v>
      </c>
      <c r="D165" s="3" t="s">
        <v>25</v>
      </c>
      <c r="E165" s="3" t="s">
        <v>31</v>
      </c>
      <c r="F165" s="3" t="s">
        <v>20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>
        <v>3</v>
      </c>
      <c r="M165" s="3">
        <v>0</v>
      </c>
      <c r="N165" s="3">
        <v>3</v>
      </c>
      <c r="O165" s="3">
        <v>16</v>
      </c>
      <c r="P165" s="3" t="b">
        <f>FALSE()</f>
        <v>0</v>
      </c>
    </row>
    <row r="166" spans="1:16" ht="15" customHeight="1">
      <c r="A166" s="3" t="s">
        <v>189</v>
      </c>
      <c r="B166" s="3" t="s">
        <v>17</v>
      </c>
      <c r="C166" s="3">
        <v>17</v>
      </c>
      <c r="D166" s="3" t="s">
        <v>18</v>
      </c>
      <c r="E166" s="3" t="s">
        <v>31</v>
      </c>
      <c r="F166" s="3" t="s">
        <v>19</v>
      </c>
      <c r="G166" s="3" t="s">
        <v>22</v>
      </c>
      <c r="H166" s="3" t="s">
        <v>22</v>
      </c>
      <c r="I166" s="3" t="s">
        <v>21</v>
      </c>
      <c r="J166" s="3" t="s">
        <v>21</v>
      </c>
      <c r="K166" s="3" t="s">
        <v>21</v>
      </c>
      <c r="L166" s="3">
        <v>1</v>
      </c>
      <c r="M166" s="3">
        <v>0</v>
      </c>
      <c r="N166" s="3">
        <v>13</v>
      </c>
      <c r="O166" s="3">
        <v>10</v>
      </c>
      <c r="P166" s="3" t="b">
        <f>FALSE()</f>
        <v>0</v>
      </c>
    </row>
    <row r="167" spans="1:16" ht="15" customHeight="1">
      <c r="A167" s="3" t="s">
        <v>190</v>
      </c>
      <c r="B167" s="3" t="s">
        <v>24</v>
      </c>
      <c r="C167" s="3">
        <v>21</v>
      </c>
      <c r="D167" s="3" t="s">
        <v>25</v>
      </c>
      <c r="E167" s="3" t="s">
        <v>31</v>
      </c>
      <c r="F167" s="3" t="s">
        <v>20</v>
      </c>
      <c r="G167" s="3" t="s">
        <v>21</v>
      </c>
      <c r="H167" s="3" t="s">
        <v>22</v>
      </c>
      <c r="I167" s="3" t="s">
        <v>22</v>
      </c>
      <c r="J167" s="3" t="s">
        <v>21</v>
      </c>
      <c r="K167" s="3" t="s">
        <v>21</v>
      </c>
      <c r="L167" s="3">
        <v>3</v>
      </c>
      <c r="M167" s="3">
        <v>0</v>
      </c>
      <c r="N167" s="3">
        <v>5</v>
      </c>
      <c r="O167" s="3">
        <v>14</v>
      </c>
      <c r="P167" s="3" t="b">
        <f>FALSE()</f>
        <v>0</v>
      </c>
    </row>
    <row r="168" spans="1:16" ht="15" customHeight="1">
      <c r="A168" s="3" t="s">
        <v>191</v>
      </c>
      <c r="B168" s="3" t="s">
        <v>17</v>
      </c>
      <c r="C168" s="3">
        <v>19</v>
      </c>
      <c r="D168" s="3" t="s">
        <v>25</v>
      </c>
      <c r="E168" s="3" t="s">
        <v>19</v>
      </c>
      <c r="F168" s="3" t="s">
        <v>19</v>
      </c>
      <c r="G168" s="3" t="s">
        <v>21</v>
      </c>
      <c r="H168" s="3" t="s">
        <v>22</v>
      </c>
      <c r="I168" s="3" t="s">
        <v>21</v>
      </c>
      <c r="J168" s="3" t="s">
        <v>21</v>
      </c>
      <c r="K168" s="3" t="s">
        <v>21</v>
      </c>
      <c r="L168" s="3">
        <v>4</v>
      </c>
      <c r="M168" s="3">
        <v>1</v>
      </c>
      <c r="N168" s="3">
        <v>10</v>
      </c>
      <c r="O168" s="3">
        <v>11</v>
      </c>
      <c r="P168" s="3" t="b">
        <f>FALSE()</f>
        <v>0</v>
      </c>
    </row>
    <row r="169" spans="1:16" ht="15" customHeight="1">
      <c r="A169" s="3" t="s">
        <v>192</v>
      </c>
      <c r="B169" s="3" t="s">
        <v>17</v>
      </c>
      <c r="C169" s="3">
        <v>18</v>
      </c>
      <c r="D169" s="3" t="s">
        <v>18</v>
      </c>
      <c r="E169" s="3" t="s">
        <v>19</v>
      </c>
      <c r="F169" s="3" t="s">
        <v>20</v>
      </c>
      <c r="G169" s="3" t="s">
        <v>22</v>
      </c>
      <c r="H169" s="3" t="s">
        <v>22</v>
      </c>
      <c r="I169" s="3" t="s">
        <v>21</v>
      </c>
      <c r="J169" s="3" t="s">
        <v>21</v>
      </c>
      <c r="K169" s="3" t="s">
        <v>22</v>
      </c>
      <c r="L169" s="3">
        <v>1</v>
      </c>
      <c r="M169" s="3">
        <v>0</v>
      </c>
      <c r="N169" s="3">
        <v>7</v>
      </c>
      <c r="O169" s="3">
        <v>13</v>
      </c>
      <c r="P169" s="3" t="b">
        <f>FALSE()</f>
        <v>0</v>
      </c>
    </row>
    <row r="170" spans="1:16" ht="15" customHeight="1">
      <c r="A170" s="3" t="s">
        <v>193</v>
      </c>
      <c r="B170" s="3" t="s">
        <v>24</v>
      </c>
      <c r="C170" s="3">
        <v>16</v>
      </c>
      <c r="D170" s="3" t="s">
        <v>18</v>
      </c>
      <c r="E170" s="3" t="s">
        <v>20</v>
      </c>
      <c r="F170" s="3" t="s">
        <v>20</v>
      </c>
      <c r="G170" s="3" t="s">
        <v>21</v>
      </c>
      <c r="H170" s="3" t="s">
        <v>22</v>
      </c>
      <c r="I170" s="3" t="s">
        <v>21</v>
      </c>
      <c r="J170" s="3" t="s">
        <v>21</v>
      </c>
      <c r="K170" s="3" t="s">
        <v>21</v>
      </c>
      <c r="L170" s="3">
        <v>2</v>
      </c>
      <c r="M170" s="3">
        <v>0</v>
      </c>
      <c r="N170" s="3">
        <v>7</v>
      </c>
      <c r="O170" s="3">
        <v>13</v>
      </c>
      <c r="P170" s="3" t="b">
        <f>FALSE()</f>
        <v>0</v>
      </c>
    </row>
    <row r="171" spans="1:16" ht="15" customHeight="1">
      <c r="A171" s="3" t="s">
        <v>194</v>
      </c>
      <c r="B171" s="3" t="s">
        <v>17</v>
      </c>
      <c r="C171" s="3">
        <v>18</v>
      </c>
      <c r="D171" s="3" t="s">
        <v>18</v>
      </c>
      <c r="E171" s="3" t="s">
        <v>20</v>
      </c>
      <c r="F171" s="3"/>
      <c r="G171" s="3" t="s">
        <v>21</v>
      </c>
      <c r="H171" s="3" t="s">
        <v>22</v>
      </c>
      <c r="I171" s="3" t="s">
        <v>21</v>
      </c>
      <c r="J171" s="3" t="s">
        <v>22</v>
      </c>
      <c r="K171" s="3" t="s">
        <v>21</v>
      </c>
      <c r="L171" s="3">
        <v>1</v>
      </c>
      <c r="M171" s="3">
        <v>0</v>
      </c>
      <c r="N171" s="3">
        <v>5</v>
      </c>
      <c r="O171" s="3">
        <v>13</v>
      </c>
      <c r="P171" s="3" t="b">
        <f>FALSE()</f>
        <v>0</v>
      </c>
    </row>
    <row r="172" spans="1:16" ht="15" customHeight="1">
      <c r="A172" s="3" t="s">
        <v>195</v>
      </c>
      <c r="B172" s="3" t="s">
        <v>24</v>
      </c>
      <c r="C172" s="3">
        <v>20</v>
      </c>
      <c r="D172" s="3" t="s">
        <v>25</v>
      </c>
      <c r="E172" s="3" t="s">
        <v>19</v>
      </c>
      <c r="F172" s="3"/>
      <c r="G172" s="3" t="s">
        <v>21</v>
      </c>
      <c r="H172" s="3" t="s">
        <v>22</v>
      </c>
      <c r="I172" s="3" t="s">
        <v>21</v>
      </c>
      <c r="J172" s="3" t="s">
        <v>21</v>
      </c>
      <c r="K172" s="3" t="s">
        <v>21</v>
      </c>
      <c r="L172" s="3">
        <v>2</v>
      </c>
      <c r="M172" s="3">
        <v>0</v>
      </c>
      <c r="N172" s="3">
        <v>4</v>
      </c>
      <c r="O172" s="3">
        <v>14</v>
      </c>
      <c r="P172" s="3" t="b">
        <f>FALSE()</f>
        <v>0</v>
      </c>
    </row>
    <row r="173" spans="1:16" ht="15" customHeight="1">
      <c r="A173" s="3" t="s">
        <v>196</v>
      </c>
      <c r="B173" s="3" t="s">
        <v>24</v>
      </c>
      <c r="C173" s="3">
        <v>22</v>
      </c>
      <c r="D173" s="3" t="s">
        <v>18</v>
      </c>
      <c r="E173" s="3" t="s">
        <v>31</v>
      </c>
      <c r="F173" s="3" t="s">
        <v>19</v>
      </c>
      <c r="G173" s="3" t="s">
        <v>21</v>
      </c>
      <c r="H173" s="3" t="s">
        <v>22</v>
      </c>
      <c r="I173" s="3" t="s">
        <v>21</v>
      </c>
      <c r="J173" s="3" t="s">
        <v>21</v>
      </c>
      <c r="K173" s="3" t="s">
        <v>21</v>
      </c>
      <c r="L173" s="3">
        <v>3</v>
      </c>
      <c r="M173" s="3">
        <v>0</v>
      </c>
      <c r="N173" s="3">
        <v>4</v>
      </c>
      <c r="O173" s="3">
        <v>12</v>
      </c>
      <c r="P173" s="3" t="b">
        <f>FALSE()</f>
        <v>0</v>
      </c>
    </row>
    <row r="174" spans="1:16" ht="15" customHeight="1">
      <c r="A174" s="3" t="s">
        <v>197</v>
      </c>
      <c r="B174" s="3" t="s">
        <v>24</v>
      </c>
      <c r="C174" s="3">
        <v>15</v>
      </c>
      <c r="D174" s="3" t="s">
        <v>25</v>
      </c>
      <c r="E174" s="3" t="s">
        <v>20</v>
      </c>
      <c r="F174" s="3" t="s">
        <v>31</v>
      </c>
      <c r="G174" s="3" t="s">
        <v>22</v>
      </c>
      <c r="H174" s="3" t="s">
        <v>22</v>
      </c>
      <c r="I174" s="3" t="s">
        <v>21</v>
      </c>
      <c r="J174" s="3" t="s">
        <v>22</v>
      </c>
      <c r="K174" s="3" t="s">
        <v>21</v>
      </c>
      <c r="L174" s="3">
        <v>2</v>
      </c>
      <c r="M174" s="3">
        <v>1</v>
      </c>
      <c r="N174" s="3">
        <v>2</v>
      </c>
      <c r="O174" s="3">
        <v>9</v>
      </c>
      <c r="P174" s="3" t="b">
        <f>TRUE()</f>
        <v>1</v>
      </c>
    </row>
    <row r="175" spans="1:16" ht="15" customHeight="1">
      <c r="A175" s="3" t="s">
        <v>198</v>
      </c>
      <c r="B175" s="3" t="s">
        <v>17</v>
      </c>
      <c r="C175" s="3">
        <v>20</v>
      </c>
      <c r="D175" s="3" t="s">
        <v>18</v>
      </c>
      <c r="E175" s="3" t="s">
        <v>20</v>
      </c>
      <c r="F175" s="3" t="s">
        <v>20</v>
      </c>
      <c r="G175" s="3" t="s">
        <v>21</v>
      </c>
      <c r="H175" s="3" t="s">
        <v>22</v>
      </c>
      <c r="I175" s="3" t="s">
        <v>21</v>
      </c>
      <c r="J175" s="3" t="s">
        <v>21</v>
      </c>
      <c r="K175" s="3" t="s">
        <v>21</v>
      </c>
      <c r="L175" s="3">
        <v>2</v>
      </c>
      <c r="M175" s="3">
        <v>1</v>
      </c>
      <c r="N175" s="3">
        <v>7</v>
      </c>
      <c r="O175" s="3">
        <v>6</v>
      </c>
      <c r="P175" s="3" t="b">
        <f>TRUE()</f>
        <v>1</v>
      </c>
    </row>
    <row r="176" spans="1:16" ht="15" customHeight="1">
      <c r="A176" s="3" t="s">
        <v>199</v>
      </c>
      <c r="B176" s="3" t="s">
        <v>24</v>
      </c>
      <c r="C176" s="3">
        <v>21</v>
      </c>
      <c r="D176" s="3" t="s">
        <v>25</v>
      </c>
      <c r="E176" s="3" t="s">
        <v>19</v>
      </c>
      <c r="F176" s="3" t="s">
        <v>19</v>
      </c>
      <c r="G176" s="3" t="s">
        <v>21</v>
      </c>
      <c r="H176" s="3" t="s">
        <v>22</v>
      </c>
      <c r="I176" s="3" t="s">
        <v>21</v>
      </c>
      <c r="J176" s="3" t="s">
        <v>22</v>
      </c>
      <c r="K176" s="3" t="s">
        <v>21</v>
      </c>
      <c r="L176" s="3">
        <v>2</v>
      </c>
      <c r="M176" s="3">
        <v>0</v>
      </c>
      <c r="N176" s="3">
        <v>5</v>
      </c>
      <c r="O176" s="3">
        <v>15</v>
      </c>
      <c r="P176" s="3" t="b">
        <f>FALSE()</f>
        <v>0</v>
      </c>
    </row>
    <row r="177" spans="1:16" ht="15" customHeight="1">
      <c r="A177" s="3" t="s">
        <v>200</v>
      </c>
      <c r="B177" s="3" t="s">
        <v>24</v>
      </c>
      <c r="C177" s="3">
        <v>22</v>
      </c>
      <c r="D177" s="3" t="s">
        <v>18</v>
      </c>
      <c r="E177" s="3" t="s">
        <v>19</v>
      </c>
      <c r="F177" s="3" t="s">
        <v>31</v>
      </c>
      <c r="G177" s="3" t="s">
        <v>21</v>
      </c>
      <c r="H177" s="3" t="s">
        <v>21</v>
      </c>
      <c r="I177" s="3" t="s">
        <v>21</v>
      </c>
      <c r="J177" s="3" t="s">
        <v>22</v>
      </c>
      <c r="K177" s="3" t="s">
        <v>21</v>
      </c>
      <c r="L177" s="3">
        <v>1</v>
      </c>
      <c r="M177" s="3">
        <v>1</v>
      </c>
      <c r="N177" s="3">
        <v>8</v>
      </c>
      <c r="O177" s="3">
        <v>7</v>
      </c>
      <c r="P177" s="3" t="b">
        <f>TRUE()</f>
        <v>1</v>
      </c>
    </row>
    <row r="178" spans="1:16" ht="15" customHeight="1">
      <c r="A178" s="3" t="s">
        <v>201</v>
      </c>
      <c r="B178" s="3" t="s">
        <v>24</v>
      </c>
      <c r="C178" s="3">
        <v>18</v>
      </c>
      <c r="D178" s="3" t="s">
        <v>25</v>
      </c>
      <c r="E178" s="3" t="s">
        <v>19</v>
      </c>
      <c r="F178" s="3" t="s">
        <v>20</v>
      </c>
      <c r="G178" s="3" t="s">
        <v>21</v>
      </c>
      <c r="H178" s="3" t="s">
        <v>22</v>
      </c>
      <c r="I178" s="3" t="s">
        <v>21</v>
      </c>
      <c r="J178" s="3" t="s">
        <v>21</v>
      </c>
      <c r="K178" s="3" t="s">
        <v>21</v>
      </c>
      <c r="L178" s="3">
        <v>1</v>
      </c>
      <c r="M178" s="3">
        <v>0</v>
      </c>
      <c r="N178" s="3">
        <v>6</v>
      </c>
      <c r="O178" s="3">
        <v>12</v>
      </c>
      <c r="P178" s="3" t="b">
        <f>FALSE()</f>
        <v>0</v>
      </c>
    </row>
    <row r="179" spans="1:16" ht="15" customHeight="1">
      <c r="A179" s="3" t="s">
        <v>202</v>
      </c>
      <c r="B179" s="3" t="s">
        <v>17</v>
      </c>
      <c r="C179" s="3">
        <v>15</v>
      </c>
      <c r="D179" s="3" t="s">
        <v>18</v>
      </c>
      <c r="E179" s="3" t="s">
        <v>31</v>
      </c>
      <c r="F179" s="3" t="s">
        <v>20</v>
      </c>
      <c r="G179" s="3" t="s">
        <v>21</v>
      </c>
      <c r="H179" s="3" t="s">
        <v>22</v>
      </c>
      <c r="I179" s="3" t="s">
        <v>21</v>
      </c>
      <c r="J179" s="3" t="s">
        <v>22</v>
      </c>
      <c r="K179" s="3" t="s">
        <v>21</v>
      </c>
      <c r="L179" s="3">
        <v>3</v>
      </c>
      <c r="M179" s="3">
        <v>1</v>
      </c>
      <c r="N179" s="3">
        <v>6</v>
      </c>
      <c r="O179" s="3">
        <v>13</v>
      </c>
      <c r="P179" s="3" t="b">
        <f>FALSE()</f>
        <v>0</v>
      </c>
    </row>
    <row r="180" spans="1:16" ht="15" customHeight="1">
      <c r="A180" s="3" t="s">
        <v>203</v>
      </c>
      <c r="B180" s="3" t="s">
        <v>17</v>
      </c>
      <c r="C180" s="3">
        <v>17</v>
      </c>
      <c r="D180" s="3" t="s">
        <v>18</v>
      </c>
      <c r="E180" s="3" t="s">
        <v>20</v>
      </c>
      <c r="F180" s="3" t="s">
        <v>31</v>
      </c>
      <c r="G180" s="3" t="s">
        <v>21</v>
      </c>
      <c r="H180" s="3" t="s">
        <v>22</v>
      </c>
      <c r="I180" s="3" t="s">
        <v>21</v>
      </c>
      <c r="J180" s="3" t="s">
        <v>22</v>
      </c>
      <c r="K180" s="3" t="s">
        <v>21</v>
      </c>
      <c r="L180" s="3">
        <v>2</v>
      </c>
      <c r="M180" s="3">
        <v>0</v>
      </c>
      <c r="N180" s="3">
        <v>4</v>
      </c>
      <c r="O180" s="3">
        <v>15</v>
      </c>
      <c r="P180" s="3" t="b">
        <f>FALSE()</f>
        <v>0</v>
      </c>
    </row>
    <row r="181" spans="1:16" ht="15" customHeight="1">
      <c r="A181" s="3" t="s">
        <v>204</v>
      </c>
      <c r="B181" s="3" t="s">
        <v>17</v>
      </c>
      <c r="C181" s="3">
        <v>21</v>
      </c>
      <c r="D181" s="3" t="s">
        <v>25</v>
      </c>
      <c r="E181" s="3" t="s">
        <v>31</v>
      </c>
      <c r="F181" s="3"/>
      <c r="G181" s="3" t="s">
        <v>21</v>
      </c>
      <c r="H181" s="3" t="s">
        <v>22</v>
      </c>
      <c r="I181" s="3" t="s">
        <v>21</v>
      </c>
      <c r="J181" s="3" t="s">
        <v>22</v>
      </c>
      <c r="K181" s="3" t="s">
        <v>22</v>
      </c>
      <c r="L181" s="3">
        <v>2</v>
      </c>
      <c r="M181" s="3">
        <v>0</v>
      </c>
      <c r="N181" s="3">
        <v>4</v>
      </c>
      <c r="O181" s="3">
        <v>11</v>
      </c>
      <c r="P181" s="3" t="b">
        <f>FALSE()</f>
        <v>0</v>
      </c>
    </row>
    <row r="182" spans="1:16" ht="15" customHeight="1">
      <c r="A182" s="3" t="s">
        <v>205</v>
      </c>
      <c r="B182" s="3" t="s">
        <v>17</v>
      </c>
      <c r="C182" s="3">
        <v>22</v>
      </c>
      <c r="D182" s="3" t="s">
        <v>25</v>
      </c>
      <c r="E182" s="3" t="s">
        <v>19</v>
      </c>
      <c r="F182" s="3" t="s">
        <v>19</v>
      </c>
      <c r="G182" s="3" t="s">
        <v>21</v>
      </c>
      <c r="H182" s="3" t="s">
        <v>22</v>
      </c>
      <c r="I182" s="3" t="s">
        <v>21</v>
      </c>
      <c r="J182" s="3" t="s">
        <v>22</v>
      </c>
      <c r="K182" s="3" t="s">
        <v>21</v>
      </c>
      <c r="L182" s="3">
        <v>3</v>
      </c>
      <c r="M182" s="3">
        <v>2</v>
      </c>
      <c r="N182" s="3">
        <v>12</v>
      </c>
      <c r="O182" s="3">
        <v>9</v>
      </c>
      <c r="P182" s="3" t="b">
        <f>TRUE()</f>
        <v>1</v>
      </c>
    </row>
    <row r="183" spans="1:16" ht="15" customHeight="1">
      <c r="A183" s="3" t="s">
        <v>206</v>
      </c>
      <c r="B183" s="3" t="s">
        <v>17</v>
      </c>
      <c r="C183" s="3">
        <v>20</v>
      </c>
      <c r="D183" s="3" t="s">
        <v>25</v>
      </c>
      <c r="E183" s="3" t="s">
        <v>20</v>
      </c>
      <c r="F183" s="3" t="s">
        <v>20</v>
      </c>
      <c r="G183" s="3" t="s">
        <v>21</v>
      </c>
      <c r="H183" s="3" t="s">
        <v>22</v>
      </c>
      <c r="I183" s="3" t="s">
        <v>22</v>
      </c>
      <c r="J183" s="3" t="s">
        <v>22</v>
      </c>
      <c r="K183" s="3" t="s">
        <v>21</v>
      </c>
      <c r="L183" s="3">
        <v>1</v>
      </c>
      <c r="M183" s="3">
        <v>0</v>
      </c>
      <c r="N183" s="3">
        <v>10</v>
      </c>
      <c r="O183" s="3">
        <v>14</v>
      </c>
      <c r="P183" s="3" t="b">
        <f>FALSE()</f>
        <v>0</v>
      </c>
    </row>
    <row r="184" spans="1:16" ht="15" customHeight="1">
      <c r="A184" s="3" t="s">
        <v>207</v>
      </c>
      <c r="B184" s="3" t="s">
        <v>24</v>
      </c>
      <c r="C184" s="3">
        <v>15</v>
      </c>
      <c r="D184" s="3" t="s">
        <v>18</v>
      </c>
      <c r="E184" s="3" t="s">
        <v>20</v>
      </c>
      <c r="F184" s="3" t="s">
        <v>19</v>
      </c>
      <c r="G184" s="3" t="s">
        <v>21</v>
      </c>
      <c r="H184" s="3" t="s">
        <v>22</v>
      </c>
      <c r="I184" s="3" t="s">
        <v>22</v>
      </c>
      <c r="J184" s="3" t="s">
        <v>22</v>
      </c>
      <c r="K184" s="3" t="s">
        <v>21</v>
      </c>
      <c r="L184" s="3">
        <v>1</v>
      </c>
      <c r="M184" s="3">
        <v>0</v>
      </c>
      <c r="N184" s="3">
        <v>3</v>
      </c>
      <c r="O184" s="3">
        <v>15</v>
      </c>
      <c r="P184" s="3" t="b">
        <f>FALSE()</f>
        <v>0</v>
      </c>
    </row>
    <row r="185" spans="1:16" ht="15" customHeight="1">
      <c r="A185" s="3" t="s">
        <v>208</v>
      </c>
      <c r="B185" s="3" t="s">
        <v>24</v>
      </c>
      <c r="C185" s="3">
        <v>15</v>
      </c>
      <c r="D185" s="3" t="s">
        <v>18</v>
      </c>
      <c r="E185" s="3" t="s">
        <v>31</v>
      </c>
      <c r="F185" s="3" t="s">
        <v>20</v>
      </c>
      <c r="G185" s="3" t="s">
        <v>21</v>
      </c>
      <c r="H185" s="3" t="s">
        <v>21</v>
      </c>
      <c r="I185" s="3" t="s">
        <v>22</v>
      </c>
      <c r="J185" s="3" t="s">
        <v>21</v>
      </c>
      <c r="K185" s="3" t="s">
        <v>21</v>
      </c>
      <c r="L185" s="3">
        <v>1</v>
      </c>
      <c r="M185" s="3">
        <v>0</v>
      </c>
      <c r="N185" s="3">
        <v>7</v>
      </c>
      <c r="O185" s="3">
        <v>14</v>
      </c>
      <c r="P185" s="3" t="b">
        <f>FALSE()</f>
        <v>0</v>
      </c>
    </row>
    <row r="186" spans="1:16" ht="15" customHeight="1">
      <c r="A186" s="3" t="s">
        <v>209</v>
      </c>
      <c r="B186" s="3" t="s">
        <v>17</v>
      </c>
      <c r="C186" s="3">
        <v>18</v>
      </c>
      <c r="D186" s="3" t="s">
        <v>18</v>
      </c>
      <c r="E186" s="3" t="s">
        <v>31</v>
      </c>
      <c r="F186" s="3" t="s">
        <v>19</v>
      </c>
      <c r="G186" s="3" t="s">
        <v>21</v>
      </c>
      <c r="H186" s="3" t="s">
        <v>21</v>
      </c>
      <c r="I186" s="3" t="s">
        <v>21</v>
      </c>
      <c r="J186" s="3" t="s">
        <v>22</v>
      </c>
      <c r="K186" s="3" t="s">
        <v>21</v>
      </c>
      <c r="L186" s="3">
        <v>4</v>
      </c>
      <c r="M186" s="3">
        <v>0</v>
      </c>
      <c r="N186" s="3">
        <v>5</v>
      </c>
      <c r="O186" s="3">
        <v>17</v>
      </c>
      <c r="P186" s="3" t="b">
        <f>FALSE()</f>
        <v>0</v>
      </c>
    </row>
    <row r="187" spans="1:16" ht="15" customHeight="1">
      <c r="A187" s="3" t="s">
        <v>210</v>
      </c>
      <c r="B187" s="3" t="s">
        <v>17</v>
      </c>
      <c r="C187" s="3">
        <v>19</v>
      </c>
      <c r="D187" s="3" t="s">
        <v>18</v>
      </c>
      <c r="E187" s="3" t="s">
        <v>19</v>
      </c>
      <c r="F187" s="3" t="s">
        <v>19</v>
      </c>
      <c r="G187" s="3" t="s">
        <v>21</v>
      </c>
      <c r="H187" s="3" t="s">
        <v>21</v>
      </c>
      <c r="I187" s="3" t="s">
        <v>21</v>
      </c>
      <c r="J187" s="3" t="s">
        <v>22</v>
      </c>
      <c r="K187" s="3" t="s">
        <v>21</v>
      </c>
      <c r="L187" s="3">
        <v>3</v>
      </c>
      <c r="M187" s="3">
        <v>0</v>
      </c>
      <c r="N187" s="3">
        <v>4</v>
      </c>
      <c r="O187" s="3">
        <v>13</v>
      </c>
      <c r="P187" s="3" t="b">
        <f>FALSE()</f>
        <v>0</v>
      </c>
    </row>
    <row r="188" spans="1:16" ht="15" customHeight="1">
      <c r="A188" s="3" t="s">
        <v>211</v>
      </c>
      <c r="B188" s="3" t="s">
        <v>24</v>
      </c>
      <c r="C188" s="3">
        <v>15</v>
      </c>
      <c r="D188" s="3" t="s">
        <v>18</v>
      </c>
      <c r="E188" s="3" t="s">
        <v>31</v>
      </c>
      <c r="F188" s="3" t="s">
        <v>19</v>
      </c>
      <c r="G188" s="3" t="s">
        <v>21</v>
      </c>
      <c r="H188" s="3" t="s">
        <v>21</v>
      </c>
      <c r="I188" s="3" t="s">
        <v>21</v>
      </c>
      <c r="J188" s="3" t="s">
        <v>22</v>
      </c>
      <c r="K188" s="3" t="s">
        <v>21</v>
      </c>
      <c r="L188" s="3">
        <v>2</v>
      </c>
      <c r="M188" s="3">
        <v>0</v>
      </c>
      <c r="N188" s="3">
        <v>7</v>
      </c>
      <c r="O188" s="3">
        <v>15</v>
      </c>
      <c r="P188" s="3" t="b">
        <f>FALSE()</f>
        <v>0</v>
      </c>
    </row>
    <row r="189" spans="1:16" ht="15" customHeight="1">
      <c r="A189" s="3" t="s">
        <v>212</v>
      </c>
      <c r="B189" s="3" t="s">
        <v>24</v>
      </c>
      <c r="C189" s="3">
        <v>20</v>
      </c>
      <c r="D189" s="3" t="s">
        <v>25</v>
      </c>
      <c r="E189" s="3" t="s">
        <v>19</v>
      </c>
      <c r="F189" s="3" t="s">
        <v>20</v>
      </c>
      <c r="G189" s="3" t="s">
        <v>21</v>
      </c>
      <c r="H189" s="3" t="s">
        <v>22</v>
      </c>
      <c r="I189" s="3" t="s">
        <v>22</v>
      </c>
      <c r="J189" s="3" t="s">
        <v>22</v>
      </c>
      <c r="K189" s="3" t="s">
        <v>21</v>
      </c>
      <c r="L189" s="3">
        <v>1</v>
      </c>
      <c r="M189" s="3">
        <v>2</v>
      </c>
      <c r="N189" s="3">
        <v>9</v>
      </c>
      <c r="O189" s="3">
        <v>6</v>
      </c>
      <c r="P189" s="3" t="b">
        <f>FALSE()</f>
        <v>0</v>
      </c>
    </row>
    <row r="190" spans="1:16" ht="15" customHeight="1">
      <c r="A190" s="3" t="s">
        <v>213</v>
      </c>
      <c r="B190" s="3" t="s">
        <v>17</v>
      </c>
      <c r="C190" s="3">
        <v>19</v>
      </c>
      <c r="D190" s="3" t="s">
        <v>25</v>
      </c>
      <c r="E190" s="3" t="s">
        <v>31</v>
      </c>
      <c r="F190" s="3" t="s">
        <v>19</v>
      </c>
      <c r="G190" s="3" t="s">
        <v>21</v>
      </c>
      <c r="H190" s="3" t="s">
        <v>22</v>
      </c>
      <c r="I190" s="3" t="s">
        <v>22</v>
      </c>
      <c r="J190" s="3" t="s">
        <v>21</v>
      </c>
      <c r="K190" s="3" t="s">
        <v>21</v>
      </c>
      <c r="L190" s="3">
        <v>1</v>
      </c>
      <c r="M190" s="3">
        <v>0</v>
      </c>
      <c r="N190" s="3">
        <v>4</v>
      </c>
      <c r="O190" s="3">
        <v>13</v>
      </c>
      <c r="P190" s="3" t="b">
        <f>FALSE()</f>
        <v>0</v>
      </c>
    </row>
    <row r="191" spans="1:16" ht="15" customHeight="1">
      <c r="A191" s="3" t="s">
        <v>214</v>
      </c>
      <c r="B191" s="3" t="s">
        <v>24</v>
      </c>
      <c r="C191" s="3">
        <v>15</v>
      </c>
      <c r="D191" s="3" t="s">
        <v>25</v>
      </c>
      <c r="E191" s="3" t="s">
        <v>19</v>
      </c>
      <c r="F191" s="3" t="s">
        <v>19</v>
      </c>
      <c r="G191" s="3" t="s">
        <v>21</v>
      </c>
      <c r="H191" s="3" t="s">
        <v>22</v>
      </c>
      <c r="I191" s="3" t="s">
        <v>22</v>
      </c>
      <c r="J191" s="3" t="s">
        <v>22</v>
      </c>
      <c r="K191" s="3" t="s">
        <v>21</v>
      </c>
      <c r="L191" s="3">
        <v>2</v>
      </c>
      <c r="M191" s="3">
        <v>0</v>
      </c>
      <c r="N191" s="3">
        <v>4</v>
      </c>
      <c r="O191" s="3">
        <v>12</v>
      </c>
      <c r="P191" s="3" t="b">
        <f>FALSE()</f>
        <v>0</v>
      </c>
    </row>
    <row r="192" spans="1:16" ht="15" customHeight="1">
      <c r="A192" s="3" t="s">
        <v>215</v>
      </c>
      <c r="B192" s="3" t="s">
        <v>17</v>
      </c>
      <c r="C192" s="3">
        <v>15</v>
      </c>
      <c r="D192" s="3" t="s">
        <v>25</v>
      </c>
      <c r="E192" s="3" t="s">
        <v>19</v>
      </c>
      <c r="F192" s="3" t="s">
        <v>31</v>
      </c>
      <c r="G192" s="3" t="s">
        <v>21</v>
      </c>
      <c r="H192" s="3" t="s">
        <v>21</v>
      </c>
      <c r="I192" s="3" t="s">
        <v>22</v>
      </c>
      <c r="J192" s="3" t="s">
        <v>22</v>
      </c>
      <c r="K192" s="3" t="s">
        <v>21</v>
      </c>
      <c r="L192" s="3">
        <v>2</v>
      </c>
      <c r="M192" s="3">
        <v>0</v>
      </c>
      <c r="N192" s="3">
        <v>8</v>
      </c>
      <c r="O192" s="3">
        <v>12</v>
      </c>
      <c r="P192" s="3" t="b">
        <f>FALSE()</f>
        <v>0</v>
      </c>
    </row>
    <row r="193" spans="1:16" ht="15" customHeight="1">
      <c r="A193" s="3" t="s">
        <v>216</v>
      </c>
      <c r="B193" s="3" t="s">
        <v>24</v>
      </c>
      <c r="C193" s="3">
        <v>18</v>
      </c>
      <c r="D193" s="3" t="s">
        <v>25</v>
      </c>
      <c r="E193" s="3" t="s">
        <v>31</v>
      </c>
      <c r="F193" s="3" t="s">
        <v>19</v>
      </c>
      <c r="G193" s="3" t="s">
        <v>21</v>
      </c>
      <c r="H193" s="3" t="s">
        <v>22</v>
      </c>
      <c r="I193" s="3" t="s">
        <v>21</v>
      </c>
      <c r="J193" s="3" t="s">
        <v>21</v>
      </c>
      <c r="K193" s="3" t="s">
        <v>21</v>
      </c>
      <c r="L193" s="3">
        <v>4</v>
      </c>
      <c r="M193" s="3">
        <v>1</v>
      </c>
      <c r="N193" s="3">
        <v>11</v>
      </c>
      <c r="O193" s="3">
        <v>13</v>
      </c>
      <c r="P193" s="3" t="b">
        <f>TRUE()</f>
        <v>1</v>
      </c>
    </row>
    <row r="194" spans="1:16" ht="15" customHeight="1">
      <c r="A194" s="3" t="s">
        <v>217</v>
      </c>
      <c r="B194" s="3" t="s">
        <v>24</v>
      </c>
      <c r="C194" s="3">
        <v>20</v>
      </c>
      <c r="D194" s="3" t="s">
        <v>18</v>
      </c>
      <c r="E194" s="3" t="s">
        <v>19</v>
      </c>
      <c r="F194" s="3" t="s">
        <v>20</v>
      </c>
      <c r="G194" s="3" t="s">
        <v>21</v>
      </c>
      <c r="H194" s="3" t="s">
        <v>21</v>
      </c>
      <c r="I194" s="3" t="s">
        <v>22</v>
      </c>
      <c r="J194" s="3" t="s">
        <v>21</v>
      </c>
      <c r="K194" s="3" t="s">
        <v>21</v>
      </c>
      <c r="L194" s="3">
        <v>3</v>
      </c>
      <c r="M194" s="3">
        <v>0</v>
      </c>
      <c r="N194" s="3">
        <v>3</v>
      </c>
      <c r="O194" s="3">
        <v>15</v>
      </c>
      <c r="P194" s="3" t="b">
        <f>FALSE()</f>
        <v>0</v>
      </c>
    </row>
    <row r="195" spans="1:16" ht="15" customHeight="1">
      <c r="A195" s="3" t="s">
        <v>218</v>
      </c>
      <c r="B195" s="3" t="s">
        <v>17</v>
      </c>
      <c r="C195" s="3">
        <v>21</v>
      </c>
      <c r="D195" s="3" t="s">
        <v>18</v>
      </c>
      <c r="E195" s="3" t="s">
        <v>20</v>
      </c>
      <c r="F195" s="3"/>
      <c r="G195" s="3" t="s">
        <v>21</v>
      </c>
      <c r="H195" s="3" t="s">
        <v>22</v>
      </c>
      <c r="I195" s="3" t="s">
        <v>22</v>
      </c>
      <c r="J195" s="3" t="s">
        <v>21</v>
      </c>
      <c r="K195" s="3" t="s">
        <v>21</v>
      </c>
      <c r="L195" s="3">
        <v>2</v>
      </c>
      <c r="M195" s="3">
        <v>0</v>
      </c>
      <c r="N195" s="3">
        <v>2</v>
      </c>
      <c r="O195" s="3">
        <v>14</v>
      </c>
      <c r="P195" s="3" t="b">
        <f>FALSE()</f>
        <v>0</v>
      </c>
    </row>
    <row r="196" spans="1:16" ht="15" customHeight="1">
      <c r="A196" s="3" t="s">
        <v>219</v>
      </c>
      <c r="B196" s="3" t="s">
        <v>24</v>
      </c>
      <c r="C196" s="3">
        <v>18</v>
      </c>
      <c r="D196" s="3" t="s">
        <v>18</v>
      </c>
      <c r="E196" s="3" t="s">
        <v>20</v>
      </c>
      <c r="F196" s="3" t="s">
        <v>20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>
        <v>3</v>
      </c>
      <c r="M196" s="3">
        <v>0</v>
      </c>
      <c r="N196" s="3">
        <v>4</v>
      </c>
      <c r="O196" s="3">
        <v>14</v>
      </c>
      <c r="P196" s="3" t="b">
        <f>FALSE()</f>
        <v>0</v>
      </c>
    </row>
    <row r="197" spans="1:16" ht="15" customHeight="1">
      <c r="A197" s="3" t="s">
        <v>220</v>
      </c>
      <c r="B197" s="3" t="s">
        <v>24</v>
      </c>
      <c r="C197" s="3">
        <v>17</v>
      </c>
      <c r="D197" s="3" t="s">
        <v>25</v>
      </c>
      <c r="E197" s="3" t="s">
        <v>19</v>
      </c>
      <c r="F197" s="3" t="s">
        <v>19</v>
      </c>
      <c r="G197" s="3" t="s">
        <v>21</v>
      </c>
      <c r="H197" s="3" t="s">
        <v>22</v>
      </c>
      <c r="I197" s="3" t="s">
        <v>22</v>
      </c>
      <c r="J197" s="3" t="s">
        <v>22</v>
      </c>
      <c r="K197" s="3" t="s">
        <v>21</v>
      </c>
      <c r="L197" s="3">
        <v>4</v>
      </c>
      <c r="M197" s="3">
        <v>0</v>
      </c>
      <c r="N197" s="3">
        <v>10</v>
      </c>
      <c r="O197" s="3">
        <v>11</v>
      </c>
      <c r="P197" s="3" t="b">
        <f>FALSE()</f>
        <v>0</v>
      </c>
    </row>
    <row r="198" spans="1:16" ht="15" customHeight="1">
      <c r="A198" s="3" t="s">
        <v>221</v>
      </c>
      <c r="B198" s="3" t="s">
        <v>17</v>
      </c>
      <c r="C198" s="3">
        <v>22</v>
      </c>
      <c r="D198" s="3" t="s">
        <v>18</v>
      </c>
      <c r="E198" s="3" t="s">
        <v>31</v>
      </c>
      <c r="F198" s="3" t="s">
        <v>20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>
        <v>2</v>
      </c>
      <c r="M198" s="3">
        <v>1</v>
      </c>
      <c r="N198" s="3">
        <v>7</v>
      </c>
      <c r="O198" s="3">
        <v>14</v>
      </c>
      <c r="P198" s="3" t="b">
        <f>FALSE()</f>
        <v>0</v>
      </c>
    </row>
    <row r="199" spans="1:16" ht="15" customHeight="1">
      <c r="A199" s="3" t="s">
        <v>222</v>
      </c>
      <c r="B199" s="3" t="s">
        <v>17</v>
      </c>
      <c r="C199" s="3">
        <v>18</v>
      </c>
      <c r="D199" s="3" t="s">
        <v>18</v>
      </c>
      <c r="E199" s="3" t="s">
        <v>31</v>
      </c>
      <c r="F199" s="3" t="s">
        <v>19</v>
      </c>
      <c r="G199" s="3" t="s">
        <v>21</v>
      </c>
      <c r="H199" s="3" t="s">
        <v>22</v>
      </c>
      <c r="I199" s="3" t="s">
        <v>22</v>
      </c>
      <c r="J199" s="3" t="s">
        <v>21</v>
      </c>
      <c r="K199" s="3" t="s">
        <v>21</v>
      </c>
      <c r="L199" s="3">
        <v>2</v>
      </c>
      <c r="M199" s="3">
        <v>0</v>
      </c>
      <c r="N199" s="3">
        <v>5</v>
      </c>
      <c r="O199" s="3">
        <v>18</v>
      </c>
      <c r="P199" s="3" t="b">
        <f>FALSE()</f>
        <v>0</v>
      </c>
    </row>
    <row r="200" spans="1:16" ht="15" customHeight="1">
      <c r="A200" s="3" t="s">
        <v>223</v>
      </c>
      <c r="B200" s="3" t="s">
        <v>24</v>
      </c>
      <c r="C200" s="3">
        <v>17</v>
      </c>
      <c r="D200" s="3" t="s">
        <v>18</v>
      </c>
      <c r="E200" s="3" t="s">
        <v>31</v>
      </c>
      <c r="F200" s="3" t="s">
        <v>31</v>
      </c>
      <c r="G200" s="3" t="s">
        <v>21</v>
      </c>
      <c r="H200" s="3" t="s">
        <v>22</v>
      </c>
      <c r="I200" s="3" t="s">
        <v>22</v>
      </c>
      <c r="J200" s="3" t="s">
        <v>22</v>
      </c>
      <c r="K200" s="3" t="s">
        <v>21</v>
      </c>
      <c r="L200" s="3">
        <v>4</v>
      </c>
      <c r="M200" s="3">
        <v>1</v>
      </c>
      <c r="N200" s="3">
        <v>13</v>
      </c>
      <c r="O200" s="3">
        <v>12</v>
      </c>
      <c r="P200" s="3" t="b">
        <f>TRUE()</f>
        <v>1</v>
      </c>
    </row>
    <row r="201" spans="1:16" ht="15" customHeight="1">
      <c r="A201" s="3" t="s">
        <v>224</v>
      </c>
      <c r="B201" s="3" t="s">
        <v>24</v>
      </c>
      <c r="C201" s="3">
        <v>18</v>
      </c>
      <c r="D201" s="3" t="s">
        <v>18</v>
      </c>
      <c r="E201" s="3" t="s">
        <v>20</v>
      </c>
      <c r="F201" s="3" t="s">
        <v>31</v>
      </c>
      <c r="G201" s="3" t="s">
        <v>21</v>
      </c>
      <c r="H201" s="3" t="s">
        <v>22</v>
      </c>
      <c r="I201" s="3" t="s">
        <v>21</v>
      </c>
      <c r="J201" s="3" t="s">
        <v>22</v>
      </c>
      <c r="K201" s="3" t="s">
        <v>21</v>
      </c>
      <c r="L201" s="3">
        <v>1</v>
      </c>
      <c r="M201" s="3">
        <v>0</v>
      </c>
      <c r="N201" s="3">
        <v>8</v>
      </c>
      <c r="O201" s="3">
        <v>9</v>
      </c>
      <c r="P201" s="3" t="b">
        <f>FALSE()</f>
        <v>0</v>
      </c>
    </row>
    <row r="202" spans="1:16" ht="15" customHeight="1">
      <c r="A202" s="3" t="s">
        <v>225</v>
      </c>
      <c r="B202" s="3" t="s">
        <v>17</v>
      </c>
      <c r="C202" s="3">
        <v>15</v>
      </c>
      <c r="D202" s="3" t="s">
        <v>18</v>
      </c>
      <c r="E202" s="3" t="s">
        <v>20</v>
      </c>
      <c r="F202" s="3" t="s">
        <v>19</v>
      </c>
      <c r="G202" s="3" t="s">
        <v>21</v>
      </c>
      <c r="H202" s="3" t="s">
        <v>21</v>
      </c>
      <c r="I202" s="3" t="s">
        <v>22</v>
      </c>
      <c r="J202" s="3" t="s">
        <v>22</v>
      </c>
      <c r="K202" s="3" t="s">
        <v>21</v>
      </c>
      <c r="L202" s="3">
        <v>3</v>
      </c>
      <c r="M202" s="3">
        <v>0</v>
      </c>
      <c r="N202" s="3">
        <v>8</v>
      </c>
      <c r="O202" s="3">
        <v>12</v>
      </c>
      <c r="P202" s="3" t="b">
        <f>FALSE()</f>
        <v>0</v>
      </c>
    </row>
    <row r="203" spans="1:16" ht="15" customHeight="1">
      <c r="A203" s="3" t="s">
        <v>226</v>
      </c>
      <c r="B203" s="3" t="s">
        <v>17</v>
      </c>
      <c r="C203" s="3">
        <v>17</v>
      </c>
      <c r="D203" s="3" t="s">
        <v>25</v>
      </c>
      <c r="E203" s="3" t="s">
        <v>19</v>
      </c>
      <c r="F203" s="3" t="s">
        <v>19</v>
      </c>
      <c r="G203" s="3" t="s">
        <v>21</v>
      </c>
      <c r="H203" s="3" t="s">
        <v>22</v>
      </c>
      <c r="I203" s="3" t="s">
        <v>21</v>
      </c>
      <c r="J203" s="3" t="s">
        <v>22</v>
      </c>
      <c r="K203" s="3" t="s">
        <v>21</v>
      </c>
      <c r="L203" s="3">
        <v>1</v>
      </c>
      <c r="M203" s="3">
        <v>0</v>
      </c>
      <c r="N203" s="3">
        <v>3</v>
      </c>
      <c r="O203" s="3">
        <v>14</v>
      </c>
      <c r="P203" s="3" t="b">
        <f>FALSE()</f>
        <v>0</v>
      </c>
    </row>
    <row r="204" spans="1:16" ht="15" customHeight="1">
      <c r="A204" s="3" t="s">
        <v>227</v>
      </c>
      <c r="B204" s="3" t="s">
        <v>24</v>
      </c>
      <c r="C204" s="3">
        <v>19</v>
      </c>
      <c r="D204" s="3" t="s">
        <v>18</v>
      </c>
      <c r="E204" s="3" t="s">
        <v>19</v>
      </c>
      <c r="F204" s="3" t="s">
        <v>19</v>
      </c>
      <c r="G204" s="3" t="s">
        <v>21</v>
      </c>
      <c r="H204" s="3" t="s">
        <v>22</v>
      </c>
      <c r="I204" s="3" t="s">
        <v>22</v>
      </c>
      <c r="J204" s="3" t="s">
        <v>22</v>
      </c>
      <c r="K204" s="3" t="s">
        <v>21</v>
      </c>
      <c r="L204" s="3">
        <v>2</v>
      </c>
      <c r="M204" s="3">
        <v>0</v>
      </c>
      <c r="N204" s="3">
        <v>4</v>
      </c>
      <c r="O204" s="3">
        <v>15</v>
      </c>
      <c r="P204" s="3" t="b">
        <f>FALSE()</f>
        <v>0</v>
      </c>
    </row>
    <row r="205" spans="1:16" ht="15" customHeight="1">
      <c r="A205" s="3" t="s">
        <v>228</v>
      </c>
      <c r="B205" s="3" t="s">
        <v>24</v>
      </c>
      <c r="C205" s="3">
        <v>22</v>
      </c>
      <c r="D205" s="3" t="s">
        <v>18</v>
      </c>
      <c r="E205" s="3" t="s">
        <v>19</v>
      </c>
      <c r="F205" s="3" t="s">
        <v>20</v>
      </c>
      <c r="G205" s="3" t="s">
        <v>21</v>
      </c>
      <c r="H205" s="3" t="s">
        <v>22</v>
      </c>
      <c r="I205" s="3" t="s">
        <v>22</v>
      </c>
      <c r="J205" s="3" t="s">
        <v>22</v>
      </c>
      <c r="K205" s="3" t="s">
        <v>21</v>
      </c>
      <c r="L205" s="3">
        <v>3</v>
      </c>
      <c r="M205" s="3">
        <v>0</v>
      </c>
      <c r="N205" s="3">
        <v>5</v>
      </c>
      <c r="O205" s="3">
        <v>11</v>
      </c>
      <c r="P205" s="3" t="b">
        <f>FALSE()</f>
        <v>0</v>
      </c>
    </row>
    <row r="206" spans="1:16" ht="15" customHeight="1">
      <c r="A206" s="3" t="s">
        <v>229</v>
      </c>
      <c r="B206" s="3" t="s">
        <v>24</v>
      </c>
      <c r="C206" s="3">
        <v>20</v>
      </c>
      <c r="D206" s="3" t="s">
        <v>25</v>
      </c>
      <c r="E206" s="3" t="s">
        <v>31</v>
      </c>
      <c r="F206" s="3" t="s">
        <v>19</v>
      </c>
      <c r="G206" s="3" t="s">
        <v>21</v>
      </c>
      <c r="H206" s="3" t="s">
        <v>22</v>
      </c>
      <c r="I206" s="3" t="s">
        <v>21</v>
      </c>
      <c r="J206" s="3" t="s">
        <v>22</v>
      </c>
      <c r="K206" s="3" t="s">
        <v>22</v>
      </c>
      <c r="L206" s="3">
        <v>2</v>
      </c>
      <c r="M206" s="3">
        <v>0</v>
      </c>
      <c r="N206" s="3">
        <v>5</v>
      </c>
      <c r="O206" s="3">
        <v>13</v>
      </c>
      <c r="P206" s="3" t="b">
        <f>FALSE()</f>
        <v>0</v>
      </c>
    </row>
    <row r="207" spans="1:16" ht="15" customHeight="1">
      <c r="A207" s="3" t="s">
        <v>230</v>
      </c>
      <c r="B207" s="3" t="s">
        <v>24</v>
      </c>
      <c r="C207" s="3">
        <v>21</v>
      </c>
      <c r="D207" s="3" t="s">
        <v>18</v>
      </c>
      <c r="E207" s="3" t="s">
        <v>31</v>
      </c>
      <c r="F207" s="3" t="s">
        <v>31</v>
      </c>
      <c r="G207" s="3" t="s">
        <v>21</v>
      </c>
      <c r="H207" s="3" t="s">
        <v>22</v>
      </c>
      <c r="I207" s="3" t="s">
        <v>22</v>
      </c>
      <c r="J207" s="3" t="s">
        <v>21</v>
      </c>
      <c r="K207" s="3" t="s">
        <v>21</v>
      </c>
      <c r="L207" s="3">
        <v>2</v>
      </c>
      <c r="M207" s="3">
        <v>0</v>
      </c>
      <c r="N207" s="3">
        <v>4</v>
      </c>
      <c r="O207" s="3">
        <v>13</v>
      </c>
      <c r="P207" s="3" t="b">
        <f>FALSE()</f>
        <v>0</v>
      </c>
    </row>
    <row r="208" spans="1:16" ht="15" customHeight="1">
      <c r="A208" s="3" t="s">
        <v>231</v>
      </c>
      <c r="B208" s="3" t="s">
        <v>24</v>
      </c>
      <c r="C208" s="3">
        <v>19</v>
      </c>
      <c r="D208" s="3" t="s">
        <v>25</v>
      </c>
      <c r="E208" s="3" t="s">
        <v>31</v>
      </c>
      <c r="F208" s="3" t="s">
        <v>31</v>
      </c>
      <c r="G208" s="3" t="s">
        <v>22</v>
      </c>
      <c r="H208" s="3" t="s">
        <v>21</v>
      </c>
      <c r="I208" s="3" t="s">
        <v>21</v>
      </c>
      <c r="J208" s="3" t="s">
        <v>22</v>
      </c>
      <c r="K208" s="3" t="s">
        <v>21</v>
      </c>
      <c r="L208" s="3">
        <v>2</v>
      </c>
      <c r="M208" s="3">
        <v>0</v>
      </c>
      <c r="N208" s="3">
        <v>6</v>
      </c>
      <c r="O208" s="3">
        <v>15</v>
      </c>
      <c r="P208" s="3" t="b">
        <f>FALSE()</f>
        <v>0</v>
      </c>
    </row>
    <row r="209" spans="1:16" ht="15" customHeight="1">
      <c r="A209" s="3" t="s">
        <v>232</v>
      </c>
      <c r="B209" s="3" t="s">
        <v>17</v>
      </c>
      <c r="C209" s="3">
        <v>15</v>
      </c>
      <c r="D209" s="3" t="s">
        <v>18</v>
      </c>
      <c r="E209" s="3" t="s">
        <v>20</v>
      </c>
      <c r="F209" s="3" t="s">
        <v>31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>
        <v>1</v>
      </c>
      <c r="M209" s="3">
        <v>0</v>
      </c>
      <c r="N209" s="3">
        <v>7</v>
      </c>
      <c r="O209" s="3">
        <v>12</v>
      </c>
      <c r="P209" s="3" t="b">
        <f>FALSE()</f>
        <v>0</v>
      </c>
    </row>
    <row r="210" spans="1:16" ht="15" customHeight="1">
      <c r="A210" s="3" t="s">
        <v>233</v>
      </c>
      <c r="B210" s="3" t="s">
        <v>24</v>
      </c>
      <c r="C210" s="3">
        <v>18</v>
      </c>
      <c r="D210" s="3" t="s">
        <v>18</v>
      </c>
      <c r="E210" s="3" t="s">
        <v>20</v>
      </c>
      <c r="F210" s="3" t="s">
        <v>20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21</v>
      </c>
      <c r="L210" s="3">
        <v>1</v>
      </c>
      <c r="M210" s="3">
        <v>0</v>
      </c>
      <c r="N210" s="3">
        <v>5</v>
      </c>
      <c r="O210" s="3">
        <v>10</v>
      </c>
      <c r="P210" s="3" t="b">
        <f>FALSE()</f>
        <v>0</v>
      </c>
    </row>
    <row r="211" spans="1:16" ht="15" customHeight="1">
      <c r="A211" s="3" t="s">
        <v>234</v>
      </c>
      <c r="B211" s="3" t="s">
        <v>24</v>
      </c>
      <c r="C211" s="3">
        <v>22</v>
      </c>
      <c r="D211" s="3" t="s">
        <v>18</v>
      </c>
      <c r="E211" s="3" t="s">
        <v>20</v>
      </c>
      <c r="F211" s="3" t="s">
        <v>31</v>
      </c>
      <c r="G211" s="3" t="s">
        <v>22</v>
      </c>
      <c r="H211" s="3" t="s">
        <v>21</v>
      </c>
      <c r="I211" s="3" t="s">
        <v>21</v>
      </c>
      <c r="J211" s="3" t="s">
        <v>21</v>
      </c>
      <c r="K211" s="3" t="s">
        <v>21</v>
      </c>
      <c r="L211" s="3">
        <v>1</v>
      </c>
      <c r="M211" s="3">
        <v>0</v>
      </c>
      <c r="N211" s="3">
        <v>9</v>
      </c>
      <c r="O211" s="3">
        <v>13</v>
      </c>
      <c r="P211" s="3" t="b">
        <f>FALSE()</f>
        <v>0</v>
      </c>
    </row>
    <row r="212" spans="1:16" ht="15" customHeight="1">
      <c r="A212" s="3" t="s">
        <v>235</v>
      </c>
      <c r="B212" s="3" t="s">
        <v>17</v>
      </c>
      <c r="C212" s="3">
        <v>15</v>
      </c>
      <c r="D212" s="3" t="s">
        <v>18</v>
      </c>
      <c r="E212" s="3" t="s">
        <v>20</v>
      </c>
      <c r="F212" s="3"/>
      <c r="G212" s="3" t="s">
        <v>22</v>
      </c>
      <c r="H212" s="3" t="s">
        <v>22</v>
      </c>
      <c r="I212" s="3" t="s">
        <v>21</v>
      </c>
      <c r="J212" s="3" t="s">
        <v>22</v>
      </c>
      <c r="K212" s="3" t="s">
        <v>21</v>
      </c>
      <c r="L212" s="3">
        <v>2</v>
      </c>
      <c r="M212" s="3">
        <v>0</v>
      </c>
      <c r="N212" s="3">
        <v>5</v>
      </c>
      <c r="O212" s="3">
        <v>15</v>
      </c>
      <c r="P212" s="3" t="b">
        <f>FALSE()</f>
        <v>0</v>
      </c>
    </row>
    <row r="213" spans="1:16" ht="15" customHeight="1">
      <c r="A213" s="3" t="s">
        <v>236</v>
      </c>
      <c r="B213" s="3" t="s">
        <v>17</v>
      </c>
      <c r="C213" s="3">
        <v>22</v>
      </c>
      <c r="D213" s="3" t="s">
        <v>25</v>
      </c>
      <c r="E213" s="3" t="s">
        <v>20</v>
      </c>
      <c r="F213" s="3" t="s">
        <v>20</v>
      </c>
      <c r="G213" s="3" t="s">
        <v>21</v>
      </c>
      <c r="H213" s="3" t="s">
        <v>22</v>
      </c>
      <c r="I213" s="3" t="s">
        <v>21</v>
      </c>
      <c r="J213" s="3" t="s">
        <v>22</v>
      </c>
      <c r="K213" s="3" t="s">
        <v>22</v>
      </c>
      <c r="L213" s="3">
        <v>2</v>
      </c>
      <c r="M213" s="3">
        <v>0</v>
      </c>
      <c r="N213" s="3">
        <v>10</v>
      </c>
      <c r="O213" s="3">
        <v>12</v>
      </c>
      <c r="P213" s="3" t="b">
        <f>FALSE()</f>
        <v>0</v>
      </c>
    </row>
    <row r="214" spans="1:16" ht="15" customHeight="1">
      <c r="A214" s="3" t="s">
        <v>237</v>
      </c>
      <c r="B214" s="3" t="s">
        <v>24</v>
      </c>
      <c r="C214" s="3">
        <v>20</v>
      </c>
      <c r="D214" s="3" t="s">
        <v>18</v>
      </c>
      <c r="E214" s="3" t="s">
        <v>19</v>
      </c>
      <c r="F214" s="3" t="s">
        <v>19</v>
      </c>
      <c r="G214" s="3" t="s">
        <v>22</v>
      </c>
      <c r="H214" s="3" t="s">
        <v>22</v>
      </c>
      <c r="I214" s="3" t="s">
        <v>21</v>
      </c>
      <c r="J214" s="3" t="s">
        <v>21</v>
      </c>
      <c r="K214" s="3" t="s">
        <v>21</v>
      </c>
      <c r="L214" s="3">
        <v>1</v>
      </c>
      <c r="M214" s="3">
        <v>0</v>
      </c>
      <c r="N214" s="3">
        <v>6</v>
      </c>
      <c r="O214" s="3">
        <v>12</v>
      </c>
      <c r="P214" s="3" t="b">
        <f>FALSE()</f>
        <v>0</v>
      </c>
    </row>
    <row r="215" spans="1:16" ht="15" customHeight="1">
      <c r="A215" s="3" t="s">
        <v>238</v>
      </c>
      <c r="B215" s="3" t="s">
        <v>17</v>
      </c>
      <c r="C215" s="3">
        <v>17</v>
      </c>
      <c r="D215" s="3" t="s">
        <v>18</v>
      </c>
      <c r="E215" s="3" t="s">
        <v>19</v>
      </c>
      <c r="F215" s="3" t="s">
        <v>31</v>
      </c>
      <c r="G215" s="3" t="s">
        <v>22</v>
      </c>
      <c r="H215" s="3" t="s">
        <v>22</v>
      </c>
      <c r="I215" s="3" t="s">
        <v>21</v>
      </c>
      <c r="J215" s="3" t="s">
        <v>22</v>
      </c>
      <c r="K215" s="3" t="s">
        <v>21</v>
      </c>
      <c r="L215" s="3">
        <v>3</v>
      </c>
      <c r="M215" s="3">
        <v>0</v>
      </c>
      <c r="N215" s="3">
        <v>8</v>
      </c>
      <c r="O215" s="3">
        <v>13</v>
      </c>
      <c r="P215" s="3" t="b">
        <f>FALSE()</f>
        <v>0</v>
      </c>
    </row>
    <row r="216" spans="1:16" ht="15" customHeight="1">
      <c r="A216" s="3" t="s">
        <v>239</v>
      </c>
      <c r="B216" s="3" t="s">
        <v>17</v>
      </c>
      <c r="C216" s="3">
        <v>21</v>
      </c>
      <c r="D216" s="3" t="s">
        <v>18</v>
      </c>
      <c r="E216" s="3" t="s">
        <v>31</v>
      </c>
      <c r="F216" s="3" t="s">
        <v>20</v>
      </c>
      <c r="G216" s="3" t="s">
        <v>21</v>
      </c>
      <c r="H216" s="3" t="s">
        <v>22</v>
      </c>
      <c r="I216" s="3" t="s">
        <v>22</v>
      </c>
      <c r="J216" s="3" t="s">
        <v>21</v>
      </c>
      <c r="K216" s="3" t="s">
        <v>21</v>
      </c>
      <c r="L216" s="3">
        <v>2</v>
      </c>
      <c r="M216" s="3">
        <v>0</v>
      </c>
      <c r="N216" s="3">
        <v>7</v>
      </c>
      <c r="O216" s="3">
        <v>11</v>
      </c>
      <c r="P216" s="3" t="b">
        <f>FALSE()</f>
        <v>0</v>
      </c>
    </row>
    <row r="217" spans="1:16" ht="15" customHeight="1">
      <c r="A217" s="3" t="s">
        <v>240</v>
      </c>
      <c r="B217" s="3" t="s">
        <v>17</v>
      </c>
      <c r="C217" s="3">
        <v>21</v>
      </c>
      <c r="D217" s="3" t="s">
        <v>25</v>
      </c>
      <c r="E217" s="3" t="s">
        <v>20</v>
      </c>
      <c r="F217" s="3" t="s">
        <v>31</v>
      </c>
      <c r="G217" s="3" t="s">
        <v>21</v>
      </c>
      <c r="H217" s="3" t="s">
        <v>22</v>
      </c>
      <c r="I217" s="3" t="s">
        <v>21</v>
      </c>
      <c r="J217" s="3" t="s">
        <v>22</v>
      </c>
      <c r="K217" s="3" t="s">
        <v>22</v>
      </c>
      <c r="L217" s="3">
        <v>2</v>
      </c>
      <c r="M217" s="3">
        <v>0</v>
      </c>
      <c r="N217" s="3">
        <v>7</v>
      </c>
      <c r="O217" s="3">
        <v>15</v>
      </c>
      <c r="P217" s="3" t="b">
        <f>FALSE()</f>
        <v>0</v>
      </c>
    </row>
    <row r="218" spans="1:16" ht="15" customHeight="1">
      <c r="A218" s="3" t="s">
        <v>241</v>
      </c>
      <c r="B218" s="3" t="s">
        <v>24</v>
      </c>
      <c r="C218" s="3">
        <v>15</v>
      </c>
      <c r="D218" s="3" t="s">
        <v>25</v>
      </c>
      <c r="E218" s="3" t="s">
        <v>31</v>
      </c>
      <c r="F218" s="3" t="s">
        <v>19</v>
      </c>
      <c r="G218" s="3" t="s">
        <v>21</v>
      </c>
      <c r="H218" s="3" t="s">
        <v>22</v>
      </c>
      <c r="I218" s="3" t="s">
        <v>22</v>
      </c>
      <c r="J218" s="3" t="s">
        <v>22</v>
      </c>
      <c r="K218" s="3" t="s">
        <v>21</v>
      </c>
      <c r="L218" s="3">
        <v>2</v>
      </c>
      <c r="M218" s="3">
        <v>1</v>
      </c>
      <c r="N218" s="3">
        <v>11</v>
      </c>
      <c r="O218" s="3">
        <v>10</v>
      </c>
      <c r="P218" s="3" t="b">
        <f>TRUE()</f>
        <v>1</v>
      </c>
    </row>
    <row r="219" spans="1:16" ht="15" customHeight="1">
      <c r="A219" s="3" t="s">
        <v>242</v>
      </c>
      <c r="B219" s="3" t="s">
        <v>24</v>
      </c>
      <c r="C219" s="3">
        <v>15</v>
      </c>
      <c r="D219" s="3" t="s">
        <v>25</v>
      </c>
      <c r="E219" s="3" t="s">
        <v>19</v>
      </c>
      <c r="F219" s="3" t="s">
        <v>31</v>
      </c>
      <c r="G219" s="3" t="s">
        <v>21</v>
      </c>
      <c r="H219" s="3" t="s">
        <v>21</v>
      </c>
      <c r="I219" s="3" t="s">
        <v>21</v>
      </c>
      <c r="J219" s="3" t="s">
        <v>22</v>
      </c>
      <c r="K219" s="3" t="s">
        <v>21</v>
      </c>
      <c r="L219" s="3">
        <v>1</v>
      </c>
      <c r="M219" s="3">
        <v>0</v>
      </c>
      <c r="N219" s="3">
        <v>5</v>
      </c>
      <c r="O219" s="3">
        <v>14</v>
      </c>
      <c r="P219" s="3" t="b">
        <f>FALSE()</f>
        <v>0</v>
      </c>
    </row>
    <row r="220" spans="1:16" ht="15" customHeight="1">
      <c r="A220" s="3" t="s">
        <v>243</v>
      </c>
      <c r="B220" s="3" t="s">
        <v>17</v>
      </c>
      <c r="C220" s="3">
        <v>20</v>
      </c>
      <c r="D220" s="3" t="s">
        <v>18</v>
      </c>
      <c r="E220" s="3" t="s">
        <v>20</v>
      </c>
      <c r="F220" s="3" t="s">
        <v>20</v>
      </c>
      <c r="G220" s="3" t="s">
        <v>21</v>
      </c>
      <c r="H220" s="3" t="s">
        <v>22</v>
      </c>
      <c r="I220" s="3" t="s">
        <v>21</v>
      </c>
      <c r="J220" s="3" t="s">
        <v>22</v>
      </c>
      <c r="K220" s="3" t="s">
        <v>21</v>
      </c>
      <c r="L220" s="3">
        <v>3</v>
      </c>
      <c r="M220" s="3">
        <v>0</v>
      </c>
      <c r="N220" s="3">
        <v>5</v>
      </c>
      <c r="O220" s="3">
        <v>18</v>
      </c>
      <c r="P220" s="3" t="b">
        <f>FALSE()</f>
        <v>0</v>
      </c>
    </row>
    <row r="221" spans="1:16" ht="15" customHeight="1">
      <c r="A221" s="3" t="s">
        <v>244</v>
      </c>
      <c r="B221" s="3" t="s">
        <v>24</v>
      </c>
      <c r="C221" s="3">
        <v>22</v>
      </c>
      <c r="D221" s="3" t="s">
        <v>18</v>
      </c>
      <c r="E221" s="3" t="s">
        <v>19</v>
      </c>
      <c r="F221" s="3" t="s">
        <v>20</v>
      </c>
      <c r="G221" s="3" t="s">
        <v>21</v>
      </c>
      <c r="H221" s="3" t="s">
        <v>22</v>
      </c>
      <c r="I221" s="3" t="s">
        <v>21</v>
      </c>
      <c r="J221" s="3" t="s">
        <v>21</v>
      </c>
      <c r="K221" s="3" t="s">
        <v>22</v>
      </c>
      <c r="L221" s="3">
        <v>2</v>
      </c>
      <c r="M221" s="3">
        <v>0</v>
      </c>
      <c r="N221" s="3">
        <v>3</v>
      </c>
      <c r="O221" s="3">
        <v>12</v>
      </c>
      <c r="P221" s="3" t="b">
        <f>TRUE()</f>
        <v>1</v>
      </c>
    </row>
    <row r="222" spans="1:16" ht="15" customHeight="1">
      <c r="A222" s="3" t="s">
        <v>245</v>
      </c>
      <c r="B222" s="3" t="s">
        <v>24</v>
      </c>
      <c r="C222" s="3">
        <v>15</v>
      </c>
      <c r="D222" s="3" t="s">
        <v>18</v>
      </c>
      <c r="E222" s="3" t="s">
        <v>19</v>
      </c>
      <c r="F222" s="3" t="s">
        <v>31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>
        <v>1</v>
      </c>
      <c r="M222" s="3">
        <v>2</v>
      </c>
      <c r="N222" s="3">
        <v>7</v>
      </c>
      <c r="O222" s="3">
        <v>7</v>
      </c>
      <c r="P222" s="3" t="b">
        <f>FALSE()</f>
        <v>0</v>
      </c>
    </row>
    <row r="223" spans="1:16" ht="15" customHeight="1">
      <c r="A223" s="3" t="s">
        <v>246</v>
      </c>
      <c r="B223" s="3" t="s">
        <v>24</v>
      </c>
      <c r="C223" s="3">
        <v>20</v>
      </c>
      <c r="D223" s="3" t="s">
        <v>18</v>
      </c>
      <c r="E223" s="3"/>
      <c r="F223" s="3" t="s">
        <v>20</v>
      </c>
      <c r="G223" s="3" t="s">
        <v>21</v>
      </c>
      <c r="H223" s="3" t="s">
        <v>22</v>
      </c>
      <c r="I223" s="3" t="s">
        <v>21</v>
      </c>
      <c r="J223" s="3" t="s">
        <v>22</v>
      </c>
      <c r="K223" s="3" t="s">
        <v>21</v>
      </c>
      <c r="L223" s="3">
        <v>4</v>
      </c>
      <c r="M223" s="3">
        <v>0</v>
      </c>
      <c r="N223" s="3">
        <v>6</v>
      </c>
      <c r="O223" s="3">
        <v>16</v>
      </c>
      <c r="P223" s="3" t="b">
        <f>FALSE()</f>
        <v>0</v>
      </c>
    </row>
    <row r="224" spans="1:16" ht="15" customHeight="1">
      <c r="A224" s="3" t="s">
        <v>247</v>
      </c>
      <c r="B224" s="3" t="s">
        <v>17</v>
      </c>
      <c r="C224" s="3">
        <v>16</v>
      </c>
      <c r="D224" s="3" t="s">
        <v>25</v>
      </c>
      <c r="E224" s="3" t="s">
        <v>19</v>
      </c>
      <c r="F224" s="3" t="s">
        <v>20</v>
      </c>
      <c r="G224" s="3" t="s">
        <v>21</v>
      </c>
      <c r="H224" s="3" t="s">
        <v>22</v>
      </c>
      <c r="I224" s="3" t="s">
        <v>21</v>
      </c>
      <c r="J224" s="3" t="s">
        <v>22</v>
      </c>
      <c r="K224" s="3" t="s">
        <v>22</v>
      </c>
      <c r="L224" s="3">
        <v>3</v>
      </c>
      <c r="M224" s="3">
        <v>1</v>
      </c>
      <c r="N224" s="3">
        <v>8</v>
      </c>
      <c r="O224" s="3">
        <v>11</v>
      </c>
      <c r="P224" s="3" t="b">
        <f>TRUE()</f>
        <v>1</v>
      </c>
    </row>
    <row r="225" spans="1:16" ht="15" customHeight="1">
      <c r="A225" s="3" t="s">
        <v>248</v>
      </c>
      <c r="B225" s="3" t="s">
        <v>17</v>
      </c>
      <c r="C225" s="3">
        <v>20</v>
      </c>
      <c r="D225" s="3" t="s">
        <v>25</v>
      </c>
      <c r="E225" s="3" t="s">
        <v>31</v>
      </c>
      <c r="F225" s="3" t="s">
        <v>20</v>
      </c>
      <c r="G225" s="3" t="s">
        <v>22</v>
      </c>
      <c r="H225" s="3" t="s">
        <v>22</v>
      </c>
      <c r="I225" s="3" t="s">
        <v>21</v>
      </c>
      <c r="J225" s="3" t="s">
        <v>21</v>
      </c>
      <c r="K225" s="3" t="s">
        <v>21</v>
      </c>
      <c r="L225" s="3">
        <v>3</v>
      </c>
      <c r="M225" s="3">
        <v>0</v>
      </c>
      <c r="N225" s="3">
        <v>5</v>
      </c>
      <c r="O225" s="3">
        <v>16</v>
      </c>
      <c r="P225" s="3" t="b">
        <f>FALSE()</f>
        <v>0</v>
      </c>
    </row>
    <row r="226" spans="1:16" ht="15" customHeight="1">
      <c r="A226" s="3" t="s">
        <v>249</v>
      </c>
      <c r="B226" s="3" t="s">
        <v>24</v>
      </c>
      <c r="C226" s="3">
        <v>19</v>
      </c>
      <c r="D226" s="3" t="s">
        <v>18</v>
      </c>
      <c r="E226" s="3" t="s">
        <v>20</v>
      </c>
      <c r="F226" s="3" t="s">
        <v>19</v>
      </c>
      <c r="G226" s="3" t="s">
        <v>21</v>
      </c>
      <c r="H226" s="3" t="s">
        <v>22</v>
      </c>
      <c r="I226" s="3" t="s">
        <v>21</v>
      </c>
      <c r="J226" s="3" t="s">
        <v>21</v>
      </c>
      <c r="K226" s="3" t="s">
        <v>21</v>
      </c>
      <c r="L226" s="3">
        <v>3</v>
      </c>
      <c r="M226" s="3">
        <v>0</v>
      </c>
      <c r="N226" s="3">
        <v>3</v>
      </c>
      <c r="O226" s="3">
        <v>14</v>
      </c>
      <c r="P226" s="3" t="b">
        <f>FALSE()</f>
        <v>0</v>
      </c>
    </row>
    <row r="227" spans="1:16" ht="15" customHeight="1">
      <c r="A227" s="3" t="s">
        <v>250</v>
      </c>
      <c r="B227" s="3" t="s">
        <v>17</v>
      </c>
      <c r="C227" s="3">
        <v>15</v>
      </c>
      <c r="D227" s="3" t="s">
        <v>18</v>
      </c>
      <c r="E227" s="3" t="s">
        <v>20</v>
      </c>
      <c r="F227" s="3" t="s">
        <v>19</v>
      </c>
      <c r="G227" s="3" t="s">
        <v>21</v>
      </c>
      <c r="H227" s="3" t="s">
        <v>22</v>
      </c>
      <c r="I227" s="3" t="s">
        <v>21</v>
      </c>
      <c r="J227" s="3" t="s">
        <v>21</v>
      </c>
      <c r="K227" s="3" t="s">
        <v>21</v>
      </c>
      <c r="L227" s="3">
        <v>4</v>
      </c>
      <c r="M227" s="3">
        <v>0</v>
      </c>
      <c r="N227" s="3">
        <v>5</v>
      </c>
      <c r="O227" s="3">
        <v>14</v>
      </c>
      <c r="P227" s="3" t="b">
        <f>FALSE()</f>
        <v>0</v>
      </c>
    </row>
    <row r="228" spans="1:16" ht="15" customHeight="1">
      <c r="A228" s="3" t="s">
        <v>251</v>
      </c>
      <c r="B228" s="3" t="s">
        <v>24</v>
      </c>
      <c r="C228" s="3">
        <v>20</v>
      </c>
      <c r="D228" s="3" t="s">
        <v>25</v>
      </c>
      <c r="E228" s="3" t="s">
        <v>20</v>
      </c>
      <c r="F228" s="3" t="s">
        <v>19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>
        <v>2</v>
      </c>
      <c r="M228" s="3">
        <v>0</v>
      </c>
      <c r="N228" s="3">
        <v>4</v>
      </c>
      <c r="O228" s="3">
        <v>14</v>
      </c>
      <c r="P228" s="3" t="b">
        <f>FALSE()</f>
        <v>0</v>
      </c>
    </row>
    <row r="229" spans="1:16" ht="15" customHeight="1">
      <c r="A229" s="3" t="s">
        <v>252</v>
      </c>
      <c r="B229" s="3" t="s">
        <v>17</v>
      </c>
      <c r="C229" s="3">
        <v>22</v>
      </c>
      <c r="D229" s="3" t="s">
        <v>18</v>
      </c>
      <c r="E229" s="3" t="s">
        <v>20</v>
      </c>
      <c r="F229" s="3" t="s">
        <v>19</v>
      </c>
      <c r="G229" s="3" t="s">
        <v>22</v>
      </c>
      <c r="H229" s="3" t="s">
        <v>21</v>
      </c>
      <c r="I229" s="3" t="s">
        <v>22</v>
      </c>
      <c r="J229" s="3" t="s">
        <v>21</v>
      </c>
      <c r="K229" s="3" t="s">
        <v>21</v>
      </c>
      <c r="L229" s="3">
        <v>2</v>
      </c>
      <c r="M229" s="3">
        <v>2</v>
      </c>
      <c r="N229" s="3">
        <v>11</v>
      </c>
      <c r="O229" s="3">
        <v>7</v>
      </c>
      <c r="P229" s="3" t="b">
        <f>FALSE()</f>
        <v>0</v>
      </c>
    </row>
    <row r="230" spans="1:16" ht="15" customHeight="1">
      <c r="A230" s="3" t="s">
        <v>253</v>
      </c>
      <c r="B230" s="3" t="s">
        <v>17</v>
      </c>
      <c r="C230" s="3">
        <v>21</v>
      </c>
      <c r="D230" s="3" t="s">
        <v>18</v>
      </c>
      <c r="E230" s="3" t="s">
        <v>20</v>
      </c>
      <c r="F230" s="3" t="s">
        <v>31</v>
      </c>
      <c r="G230" s="3" t="s">
        <v>22</v>
      </c>
      <c r="H230" s="3" t="s">
        <v>22</v>
      </c>
      <c r="I230" s="3" t="s">
        <v>21</v>
      </c>
      <c r="J230" s="3" t="s">
        <v>21</v>
      </c>
      <c r="K230" s="3" t="s">
        <v>21</v>
      </c>
      <c r="L230" s="3">
        <v>2</v>
      </c>
      <c r="M230" s="3">
        <v>0</v>
      </c>
      <c r="N230" s="3">
        <v>8</v>
      </c>
      <c r="O230" s="3">
        <v>14</v>
      </c>
      <c r="P230" s="3" t="b">
        <f>FALSE()</f>
        <v>0</v>
      </c>
    </row>
    <row r="231" spans="1:16" ht="15" customHeight="1">
      <c r="A231" s="3" t="s">
        <v>254</v>
      </c>
      <c r="B231" s="3" t="s">
        <v>24</v>
      </c>
      <c r="C231" s="3">
        <v>15</v>
      </c>
      <c r="D231" s="3" t="s">
        <v>18</v>
      </c>
      <c r="E231" s="3" t="s">
        <v>19</v>
      </c>
      <c r="F231" s="3" t="s">
        <v>20</v>
      </c>
      <c r="G231" s="3" t="s">
        <v>22</v>
      </c>
      <c r="H231" s="3" t="s">
        <v>22</v>
      </c>
      <c r="I231" s="3" t="s">
        <v>22</v>
      </c>
      <c r="J231" s="3" t="s">
        <v>22</v>
      </c>
      <c r="K231" s="3" t="s">
        <v>21</v>
      </c>
      <c r="L231" s="3">
        <v>1</v>
      </c>
      <c r="M231" s="3">
        <v>3</v>
      </c>
      <c r="N231" s="3">
        <v>13</v>
      </c>
      <c r="O231" s="3">
        <v>3</v>
      </c>
      <c r="P231" s="3" t="b">
        <f>TRUE()</f>
        <v>1</v>
      </c>
    </row>
    <row r="232" spans="1:16" ht="15" customHeight="1">
      <c r="A232" s="3" t="s">
        <v>255</v>
      </c>
      <c r="B232" s="3" t="s">
        <v>24</v>
      </c>
      <c r="C232" s="3">
        <v>16</v>
      </c>
      <c r="D232" s="3" t="s">
        <v>18</v>
      </c>
      <c r="E232" s="3" t="s">
        <v>31</v>
      </c>
      <c r="F232" s="3" t="s">
        <v>20</v>
      </c>
      <c r="G232" s="3" t="s">
        <v>22</v>
      </c>
      <c r="H232" s="3" t="s">
        <v>22</v>
      </c>
      <c r="I232" s="3" t="s">
        <v>22</v>
      </c>
      <c r="J232" s="3" t="s">
        <v>21</v>
      </c>
      <c r="K232" s="3" t="s">
        <v>21</v>
      </c>
      <c r="L232" s="3">
        <v>1</v>
      </c>
      <c r="M232" s="3">
        <v>0</v>
      </c>
      <c r="N232" s="3">
        <v>2</v>
      </c>
      <c r="O232" s="3">
        <v>12</v>
      </c>
      <c r="P232" s="3" t="b">
        <f>FALSE()</f>
        <v>0</v>
      </c>
    </row>
    <row r="233" spans="1:16" ht="15" customHeight="1">
      <c r="A233" s="3" t="s">
        <v>256</v>
      </c>
      <c r="B233" s="3" t="s">
        <v>24</v>
      </c>
      <c r="C233" s="3">
        <v>16</v>
      </c>
      <c r="D233" s="3" t="s">
        <v>18</v>
      </c>
      <c r="E233" s="3" t="s">
        <v>31</v>
      </c>
      <c r="F233" s="3" t="s">
        <v>20</v>
      </c>
      <c r="G233" s="3" t="s">
        <v>21</v>
      </c>
      <c r="H233" s="3" t="s">
        <v>22</v>
      </c>
      <c r="I233" s="3" t="s">
        <v>22</v>
      </c>
      <c r="J233" s="3" t="s">
        <v>21</v>
      </c>
      <c r="K233" s="3" t="s">
        <v>21</v>
      </c>
      <c r="L233" s="3">
        <v>1</v>
      </c>
      <c r="M233" s="3">
        <v>2</v>
      </c>
      <c r="N233" s="3">
        <v>11</v>
      </c>
      <c r="O233" s="3">
        <v>6</v>
      </c>
      <c r="P233" s="3" t="b">
        <f>TRUE()</f>
        <v>1</v>
      </c>
    </row>
    <row r="234" spans="1:16" ht="15" customHeight="1">
      <c r="A234" s="3" t="s">
        <v>257</v>
      </c>
      <c r="B234" s="3" t="s">
        <v>17</v>
      </c>
      <c r="C234" s="3">
        <v>18</v>
      </c>
      <c r="D234" s="3" t="s">
        <v>18</v>
      </c>
      <c r="E234" s="3" t="s">
        <v>31</v>
      </c>
      <c r="F234" s="3" t="s">
        <v>20</v>
      </c>
      <c r="G234" s="3" t="s">
        <v>21</v>
      </c>
      <c r="H234" s="3" t="s">
        <v>22</v>
      </c>
      <c r="I234" s="3" t="s">
        <v>22</v>
      </c>
      <c r="J234" s="3" t="s">
        <v>21</v>
      </c>
      <c r="K234" s="3" t="s">
        <v>21</v>
      </c>
      <c r="L234" s="3">
        <v>2</v>
      </c>
      <c r="M234" s="3">
        <v>2</v>
      </c>
      <c r="N234" s="3">
        <v>9</v>
      </c>
      <c r="O234" s="3">
        <v>7</v>
      </c>
      <c r="P234" s="3" t="b">
        <f>TRUE()</f>
        <v>1</v>
      </c>
    </row>
    <row r="235" spans="1:16" ht="15" customHeight="1">
      <c r="A235" s="3" t="s">
        <v>258</v>
      </c>
      <c r="B235" s="3" t="s">
        <v>17</v>
      </c>
      <c r="C235" s="3">
        <v>16</v>
      </c>
      <c r="D235" s="3" t="s">
        <v>18</v>
      </c>
      <c r="E235" s="3" t="s">
        <v>20</v>
      </c>
      <c r="F235" s="3" t="s">
        <v>20</v>
      </c>
      <c r="G235" s="3" t="s">
        <v>21</v>
      </c>
      <c r="H235" s="3" t="s">
        <v>22</v>
      </c>
      <c r="I235" s="3" t="s">
        <v>21</v>
      </c>
      <c r="J235" s="3" t="s">
        <v>21</v>
      </c>
      <c r="K235" s="3" t="s">
        <v>21</v>
      </c>
      <c r="L235" s="3">
        <v>3</v>
      </c>
      <c r="M235" s="3">
        <v>0</v>
      </c>
      <c r="N235" s="3">
        <v>6</v>
      </c>
      <c r="O235" s="3">
        <v>13</v>
      </c>
      <c r="P235" s="3" t="b">
        <f>TRUE()</f>
        <v>1</v>
      </c>
    </row>
    <row r="236" spans="1:16" ht="15" customHeight="1">
      <c r="A236" s="3" t="s">
        <v>259</v>
      </c>
      <c r="B236" s="3" t="s">
        <v>17</v>
      </c>
      <c r="C236" s="3">
        <v>21</v>
      </c>
      <c r="D236" s="3" t="s">
        <v>18</v>
      </c>
      <c r="E236" s="3" t="s">
        <v>19</v>
      </c>
      <c r="F236" s="3" t="s">
        <v>31</v>
      </c>
      <c r="G236" s="3" t="s">
        <v>21</v>
      </c>
      <c r="H236" s="3" t="s">
        <v>21</v>
      </c>
      <c r="I236" s="3" t="s">
        <v>21</v>
      </c>
      <c r="J236" s="3" t="s">
        <v>22</v>
      </c>
      <c r="K236" s="3" t="s">
        <v>21</v>
      </c>
      <c r="L236" s="3">
        <v>3</v>
      </c>
      <c r="M236" s="3">
        <v>0</v>
      </c>
      <c r="N236" s="3">
        <v>5</v>
      </c>
      <c r="O236" s="3">
        <v>15</v>
      </c>
      <c r="P236" s="3" t="b">
        <f>FALSE()</f>
        <v>0</v>
      </c>
    </row>
    <row r="237" spans="1:16" ht="15" customHeight="1">
      <c r="A237" s="3" t="s">
        <v>260</v>
      </c>
      <c r="B237" s="3" t="s">
        <v>17</v>
      </c>
      <c r="C237" s="3">
        <v>21</v>
      </c>
      <c r="D237" s="3" t="s">
        <v>18</v>
      </c>
      <c r="E237" s="3" t="s">
        <v>31</v>
      </c>
      <c r="F237" s="3" t="s">
        <v>31</v>
      </c>
      <c r="G237" s="3" t="s">
        <v>22</v>
      </c>
      <c r="H237" s="3" t="s">
        <v>21</v>
      </c>
      <c r="I237" s="3" t="s">
        <v>21</v>
      </c>
      <c r="J237" s="3" t="s">
        <v>21</v>
      </c>
      <c r="K237" s="3" t="s">
        <v>21</v>
      </c>
      <c r="L237" s="3">
        <v>2</v>
      </c>
      <c r="M237" s="3">
        <v>1</v>
      </c>
      <c r="N237" s="3">
        <v>5</v>
      </c>
      <c r="O237" s="3">
        <v>10</v>
      </c>
      <c r="P237" s="3" t="b">
        <f>TRUE()</f>
        <v>1</v>
      </c>
    </row>
    <row r="238" spans="1:16" ht="15" customHeight="1">
      <c r="A238" s="3" t="s">
        <v>261</v>
      </c>
      <c r="B238" s="3" t="s">
        <v>24</v>
      </c>
      <c r="C238" s="3">
        <v>21</v>
      </c>
      <c r="D238" s="3" t="s">
        <v>18</v>
      </c>
      <c r="E238" s="3" t="s">
        <v>20</v>
      </c>
      <c r="F238" s="3" t="s">
        <v>20</v>
      </c>
      <c r="G238" s="3" t="s">
        <v>21</v>
      </c>
      <c r="H238" s="3" t="s">
        <v>21</v>
      </c>
      <c r="I238" s="3" t="s">
        <v>22</v>
      </c>
      <c r="J238" s="3" t="s">
        <v>22</v>
      </c>
      <c r="K238" s="3" t="s">
        <v>21</v>
      </c>
      <c r="L238" s="3">
        <v>1</v>
      </c>
      <c r="M238" s="3">
        <v>0</v>
      </c>
      <c r="N238" s="3">
        <v>7</v>
      </c>
      <c r="O238" s="3">
        <v>15</v>
      </c>
      <c r="P238" s="3" t="b">
        <f>FALSE()</f>
        <v>0</v>
      </c>
    </row>
    <row r="239" spans="1:16" ht="15" customHeight="1">
      <c r="A239" s="3" t="s">
        <v>262</v>
      </c>
      <c r="B239" s="3" t="s">
        <v>17</v>
      </c>
      <c r="C239" s="3">
        <v>16</v>
      </c>
      <c r="D239" s="3" t="s">
        <v>25</v>
      </c>
      <c r="E239" s="3" t="s">
        <v>19</v>
      </c>
      <c r="F239" s="3" t="s">
        <v>19</v>
      </c>
      <c r="G239" s="3" t="s">
        <v>21</v>
      </c>
      <c r="H239" s="3" t="s">
        <v>21</v>
      </c>
      <c r="I239" s="3" t="s">
        <v>21</v>
      </c>
      <c r="J239" s="3" t="s">
        <v>22</v>
      </c>
      <c r="K239" s="3" t="s">
        <v>21</v>
      </c>
      <c r="L239" s="3">
        <v>2</v>
      </c>
      <c r="M239" s="3">
        <v>2</v>
      </c>
      <c r="N239" s="3">
        <v>10</v>
      </c>
      <c r="O239" s="3">
        <v>11</v>
      </c>
      <c r="P239" s="3" t="b">
        <f>TRUE()</f>
        <v>1</v>
      </c>
    </row>
    <row r="240" spans="1:16" ht="15" customHeight="1">
      <c r="A240" s="3" t="s">
        <v>263</v>
      </c>
      <c r="B240" s="3" t="s">
        <v>24</v>
      </c>
      <c r="C240" s="3">
        <v>15</v>
      </c>
      <c r="D240" s="3" t="s">
        <v>25</v>
      </c>
      <c r="E240" s="3" t="s">
        <v>20</v>
      </c>
      <c r="F240" s="3" t="s">
        <v>20</v>
      </c>
      <c r="G240" s="3" t="s">
        <v>21</v>
      </c>
      <c r="H240" s="3" t="s">
        <v>22</v>
      </c>
      <c r="I240" s="3" t="s">
        <v>21</v>
      </c>
      <c r="J240" s="3" t="s">
        <v>21</v>
      </c>
      <c r="K240" s="3" t="s">
        <v>22</v>
      </c>
      <c r="L240" s="3">
        <v>2</v>
      </c>
      <c r="M240" s="3">
        <v>0</v>
      </c>
      <c r="N240" s="3">
        <v>4</v>
      </c>
      <c r="O240" s="3">
        <v>15</v>
      </c>
      <c r="P240" s="3" t="b">
        <f>FALSE()</f>
        <v>0</v>
      </c>
    </row>
    <row r="241" spans="1:16" ht="15" customHeight="1">
      <c r="A241" s="3" t="s">
        <v>264</v>
      </c>
      <c r="B241" s="3" t="s">
        <v>24</v>
      </c>
      <c r="C241" s="3">
        <v>22</v>
      </c>
      <c r="D241" s="3" t="s">
        <v>18</v>
      </c>
      <c r="E241" s="3" t="s">
        <v>31</v>
      </c>
      <c r="F241" s="3" t="s">
        <v>20</v>
      </c>
      <c r="G241" s="3" t="s">
        <v>21</v>
      </c>
      <c r="H241" s="3" t="s">
        <v>22</v>
      </c>
      <c r="I241" s="3" t="s">
        <v>22</v>
      </c>
      <c r="J241" s="3" t="s">
        <v>22</v>
      </c>
      <c r="K241" s="3" t="s">
        <v>21</v>
      </c>
      <c r="L241" s="3">
        <v>4</v>
      </c>
      <c r="M241" s="3">
        <v>0</v>
      </c>
      <c r="N241" s="3">
        <v>9</v>
      </c>
      <c r="O241" s="3">
        <v>15</v>
      </c>
      <c r="P241" s="3" t="b">
        <f>FALSE()</f>
        <v>0</v>
      </c>
    </row>
    <row r="242" spans="1:16" ht="15" customHeight="1">
      <c r="A242" s="3" t="s">
        <v>265</v>
      </c>
      <c r="B242" s="3" t="s">
        <v>17</v>
      </c>
      <c r="C242" s="3">
        <v>17</v>
      </c>
      <c r="D242" s="3" t="s">
        <v>18</v>
      </c>
      <c r="E242" s="3" t="s">
        <v>20</v>
      </c>
      <c r="F242" s="3" t="s">
        <v>20</v>
      </c>
      <c r="G242" s="3" t="s">
        <v>21</v>
      </c>
      <c r="H242" s="3" t="s">
        <v>21</v>
      </c>
      <c r="I242" s="3" t="s">
        <v>21</v>
      </c>
      <c r="J242" s="3" t="s">
        <v>22</v>
      </c>
      <c r="K242" s="3" t="s">
        <v>21</v>
      </c>
      <c r="L242" s="3">
        <v>3</v>
      </c>
      <c r="M242" s="3">
        <v>0</v>
      </c>
      <c r="N242" s="3">
        <v>8</v>
      </c>
      <c r="O242" s="3">
        <v>14</v>
      </c>
      <c r="P242" s="3" t="b">
        <f>FALSE()</f>
        <v>0</v>
      </c>
    </row>
    <row r="243" spans="1:16" ht="15" customHeight="1">
      <c r="A243" s="3" t="s">
        <v>266</v>
      </c>
      <c r="B243" s="3" t="s">
        <v>17</v>
      </c>
      <c r="C243" s="3">
        <v>20</v>
      </c>
      <c r="D243" s="3" t="s">
        <v>25</v>
      </c>
      <c r="E243" s="3" t="s">
        <v>31</v>
      </c>
      <c r="F243" s="3" t="s">
        <v>20</v>
      </c>
      <c r="G243" s="3" t="s">
        <v>21</v>
      </c>
      <c r="H243" s="3" t="s">
        <v>22</v>
      </c>
      <c r="I243" s="3" t="s">
        <v>21</v>
      </c>
      <c r="J243" s="3" t="s">
        <v>21</v>
      </c>
      <c r="K243" s="3" t="s">
        <v>21</v>
      </c>
      <c r="L243" s="3">
        <v>4</v>
      </c>
      <c r="M243" s="3">
        <v>1</v>
      </c>
      <c r="N243" s="3">
        <v>9</v>
      </c>
      <c r="O243" s="3">
        <v>10</v>
      </c>
      <c r="P243" s="3" t="b">
        <f>TRUE()</f>
        <v>1</v>
      </c>
    </row>
    <row r="244" spans="1:16" ht="15" customHeight="1">
      <c r="A244" s="3" t="s">
        <v>267</v>
      </c>
      <c r="B244" s="3" t="s">
        <v>24</v>
      </c>
      <c r="C244" s="3">
        <v>22</v>
      </c>
      <c r="D244" s="3" t="s">
        <v>18</v>
      </c>
      <c r="E244" s="3" t="s">
        <v>31</v>
      </c>
      <c r="F244" s="3" t="s">
        <v>20</v>
      </c>
      <c r="G244" s="3" t="s">
        <v>22</v>
      </c>
      <c r="H244" s="3" t="s">
        <v>22</v>
      </c>
      <c r="I244" s="3" t="s">
        <v>22</v>
      </c>
      <c r="J244" s="3" t="s">
        <v>21</v>
      </c>
      <c r="K244" s="3" t="s">
        <v>21</v>
      </c>
      <c r="L244" s="3">
        <v>3</v>
      </c>
      <c r="M244" s="3">
        <v>3</v>
      </c>
      <c r="N244" s="3">
        <v>13</v>
      </c>
      <c r="O244" s="3">
        <v>4</v>
      </c>
      <c r="P244" s="3" t="b">
        <f>FALSE()</f>
        <v>0</v>
      </c>
    </row>
    <row r="245" spans="1:16" ht="15" customHeight="1">
      <c r="A245" s="3" t="s">
        <v>268</v>
      </c>
      <c r="B245" s="3" t="s">
        <v>17</v>
      </c>
      <c r="C245" s="3">
        <v>15</v>
      </c>
      <c r="D245" s="3" t="s">
        <v>18</v>
      </c>
      <c r="E245" s="3" t="s">
        <v>19</v>
      </c>
      <c r="F245" s="3" t="s">
        <v>19</v>
      </c>
      <c r="G245" s="3" t="s">
        <v>21</v>
      </c>
      <c r="H245" s="3" t="s">
        <v>21</v>
      </c>
      <c r="I245" s="3" t="s">
        <v>21</v>
      </c>
      <c r="J245" s="3" t="s">
        <v>22</v>
      </c>
      <c r="K245" s="3" t="s">
        <v>22</v>
      </c>
      <c r="L245" s="3">
        <v>4</v>
      </c>
      <c r="M245" s="3">
        <v>0</v>
      </c>
      <c r="N245" s="3">
        <v>6</v>
      </c>
      <c r="O245" s="3">
        <v>16</v>
      </c>
      <c r="P245" s="3" t="b">
        <f>FALSE()</f>
        <v>0</v>
      </c>
    </row>
    <row r="246" spans="1:16" ht="15" customHeight="1">
      <c r="A246" s="3" t="s">
        <v>269</v>
      </c>
      <c r="B246" s="3" t="s">
        <v>17</v>
      </c>
      <c r="C246" s="3">
        <v>15</v>
      </c>
      <c r="D246" s="3" t="s">
        <v>25</v>
      </c>
      <c r="E246" s="3" t="s">
        <v>31</v>
      </c>
      <c r="F246" s="3" t="s">
        <v>19</v>
      </c>
      <c r="G246" s="3" t="s">
        <v>22</v>
      </c>
      <c r="H246" s="3" t="s">
        <v>21</v>
      </c>
      <c r="I246" s="3" t="s">
        <v>21</v>
      </c>
      <c r="J246" s="3" t="s">
        <v>22</v>
      </c>
      <c r="K246" s="3" t="s">
        <v>21</v>
      </c>
      <c r="L246" s="3">
        <v>2</v>
      </c>
      <c r="M246" s="3">
        <v>1</v>
      </c>
      <c r="N246" s="3">
        <v>8</v>
      </c>
      <c r="O246" s="3">
        <v>11</v>
      </c>
      <c r="P246" s="3" t="b">
        <f>FALSE()</f>
        <v>0</v>
      </c>
    </row>
    <row r="247" spans="1:16" ht="15" customHeight="1">
      <c r="A247" s="3" t="s">
        <v>270</v>
      </c>
      <c r="B247" s="3" t="s">
        <v>17</v>
      </c>
      <c r="C247" s="3">
        <v>15</v>
      </c>
      <c r="D247" s="3" t="s">
        <v>18</v>
      </c>
      <c r="E247" s="3" t="s">
        <v>20</v>
      </c>
      <c r="F247" s="3" t="s">
        <v>20</v>
      </c>
      <c r="G247" s="3" t="s">
        <v>21</v>
      </c>
      <c r="H247" s="3" t="s">
        <v>21</v>
      </c>
      <c r="I247" s="3" t="s">
        <v>22</v>
      </c>
      <c r="J247" s="3" t="s">
        <v>21</v>
      </c>
      <c r="K247" s="3" t="s">
        <v>21</v>
      </c>
      <c r="L247" s="3">
        <v>1</v>
      </c>
      <c r="M247" s="3">
        <v>2</v>
      </c>
      <c r="N247" s="3">
        <v>8</v>
      </c>
      <c r="O247" s="3">
        <v>8</v>
      </c>
      <c r="P247" s="3" t="b">
        <f>TRUE()</f>
        <v>1</v>
      </c>
    </row>
    <row r="248" spans="1:16" ht="15" customHeight="1">
      <c r="A248" s="3" t="s">
        <v>271</v>
      </c>
      <c r="B248" s="3" t="s">
        <v>17</v>
      </c>
      <c r="C248" s="3">
        <v>16</v>
      </c>
      <c r="D248" s="3" t="s">
        <v>25</v>
      </c>
      <c r="E248" s="3" t="s">
        <v>20</v>
      </c>
      <c r="F248" s="3" t="s">
        <v>19</v>
      </c>
      <c r="G248" s="3" t="s">
        <v>21</v>
      </c>
      <c r="H248" s="3" t="s">
        <v>22</v>
      </c>
      <c r="I248" s="3" t="s">
        <v>21</v>
      </c>
      <c r="J248" s="3" t="s">
        <v>22</v>
      </c>
      <c r="K248" s="3" t="s">
        <v>21</v>
      </c>
      <c r="L248" s="3">
        <v>1</v>
      </c>
      <c r="M248" s="3">
        <v>0</v>
      </c>
      <c r="N248" s="3">
        <v>9</v>
      </c>
      <c r="O248" s="3">
        <v>13</v>
      </c>
      <c r="P248" s="3" t="b">
        <f>FALSE()</f>
        <v>0</v>
      </c>
    </row>
    <row r="249" spans="1:16" ht="15" customHeight="1">
      <c r="A249" s="3" t="s">
        <v>272</v>
      </c>
      <c r="B249" s="3" t="s">
        <v>24</v>
      </c>
      <c r="C249" s="3">
        <v>15</v>
      </c>
      <c r="D249" s="3" t="s">
        <v>18</v>
      </c>
      <c r="E249" s="3"/>
      <c r="F249" s="3" t="s">
        <v>19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>
        <v>2</v>
      </c>
      <c r="M249" s="3">
        <v>0</v>
      </c>
      <c r="N249" s="3">
        <v>5</v>
      </c>
      <c r="O249" s="3">
        <v>12</v>
      </c>
      <c r="P249" s="3" t="b">
        <f>FALSE()</f>
        <v>0</v>
      </c>
    </row>
    <row r="250" spans="1:16" ht="15" customHeight="1">
      <c r="A250" s="3" t="s">
        <v>273</v>
      </c>
      <c r="B250" s="3" t="s">
        <v>24</v>
      </c>
      <c r="C250" s="3">
        <v>21</v>
      </c>
      <c r="D250" s="3" t="s">
        <v>18</v>
      </c>
      <c r="E250" s="3" t="s">
        <v>31</v>
      </c>
      <c r="F250" s="3" t="s">
        <v>20</v>
      </c>
      <c r="G250" s="3" t="s">
        <v>21</v>
      </c>
      <c r="H250" s="3" t="s">
        <v>21</v>
      </c>
      <c r="I250" s="3" t="s">
        <v>21</v>
      </c>
      <c r="J250" s="3" t="s">
        <v>22</v>
      </c>
      <c r="K250" s="3" t="s">
        <v>21</v>
      </c>
      <c r="L250" s="3">
        <v>1</v>
      </c>
      <c r="M250" s="3">
        <v>1</v>
      </c>
      <c r="N250" s="3">
        <v>3</v>
      </c>
      <c r="O250" s="3">
        <v>9</v>
      </c>
      <c r="P250" s="3" t="b">
        <f>FALSE()</f>
        <v>0</v>
      </c>
    </row>
    <row r="251" spans="1:16" ht="15" customHeight="1">
      <c r="A251" s="3" t="s">
        <v>274</v>
      </c>
      <c r="B251" s="3" t="s">
        <v>24</v>
      </c>
      <c r="C251" s="3">
        <v>19</v>
      </c>
      <c r="D251" s="3" t="s">
        <v>18</v>
      </c>
      <c r="E251" s="3" t="s">
        <v>19</v>
      </c>
      <c r="F251" s="3" t="s">
        <v>20</v>
      </c>
      <c r="G251" s="3" t="s">
        <v>21</v>
      </c>
      <c r="H251" s="3" t="s">
        <v>21</v>
      </c>
      <c r="I251" s="3" t="s">
        <v>22</v>
      </c>
      <c r="J251" s="3" t="s">
        <v>21</v>
      </c>
      <c r="K251" s="3" t="s">
        <v>21</v>
      </c>
      <c r="L251" s="3">
        <v>1</v>
      </c>
      <c r="M251" s="3">
        <v>0</v>
      </c>
      <c r="N251" s="3">
        <v>7</v>
      </c>
      <c r="O251" s="3">
        <v>14</v>
      </c>
      <c r="P251" s="3" t="b">
        <f>FALSE()</f>
        <v>0</v>
      </c>
    </row>
    <row r="252" spans="1:16" ht="15" customHeight="1">
      <c r="A252" s="3" t="s">
        <v>275</v>
      </c>
      <c r="B252" s="3" t="s">
        <v>17</v>
      </c>
      <c r="C252" s="3">
        <v>22</v>
      </c>
      <c r="D252" s="3" t="s">
        <v>18</v>
      </c>
      <c r="E252" s="3" t="s">
        <v>19</v>
      </c>
      <c r="F252" s="3" t="s">
        <v>19</v>
      </c>
      <c r="G252" s="3" t="s">
        <v>22</v>
      </c>
      <c r="H252" s="3" t="s">
        <v>22</v>
      </c>
      <c r="I252" s="3" t="s">
        <v>21</v>
      </c>
      <c r="J252" s="3" t="s">
        <v>21</v>
      </c>
      <c r="K252" s="3" t="s">
        <v>22</v>
      </c>
      <c r="L252" s="3">
        <v>4</v>
      </c>
      <c r="M252" s="3">
        <v>0</v>
      </c>
      <c r="N252" s="3">
        <v>7</v>
      </c>
      <c r="O252" s="3">
        <v>16</v>
      </c>
      <c r="P252" s="3" t="b">
        <f>FALSE()</f>
        <v>0</v>
      </c>
    </row>
    <row r="253" spans="1:16" ht="15" customHeight="1">
      <c r="A253" s="3" t="s">
        <v>276</v>
      </c>
      <c r="B253" s="3" t="s">
        <v>17</v>
      </c>
      <c r="C253" s="3">
        <v>21</v>
      </c>
      <c r="D253" s="3" t="s">
        <v>18</v>
      </c>
      <c r="E253" s="3" t="s">
        <v>20</v>
      </c>
      <c r="F253" s="3" t="s">
        <v>20</v>
      </c>
      <c r="G253" s="3" t="s">
        <v>21</v>
      </c>
      <c r="H253" s="3" t="s">
        <v>21</v>
      </c>
      <c r="I253" s="3" t="s">
        <v>22</v>
      </c>
      <c r="J253" s="3" t="s">
        <v>22</v>
      </c>
      <c r="K253" s="3" t="s">
        <v>21</v>
      </c>
      <c r="L253" s="3">
        <v>1</v>
      </c>
      <c r="M253" s="3">
        <v>1</v>
      </c>
      <c r="N253" s="3">
        <v>5</v>
      </c>
      <c r="O253" s="3">
        <v>9</v>
      </c>
      <c r="P253" s="3" t="b">
        <f>TRUE()</f>
        <v>1</v>
      </c>
    </row>
    <row r="254" spans="1:16" ht="15" customHeight="1">
      <c r="A254" s="3" t="s">
        <v>277</v>
      </c>
      <c r="B254" s="3" t="s">
        <v>24</v>
      </c>
      <c r="C254" s="3">
        <v>22</v>
      </c>
      <c r="D254" s="3" t="s">
        <v>18</v>
      </c>
      <c r="E254" s="3" t="s">
        <v>19</v>
      </c>
      <c r="F254" s="3" t="s">
        <v>31</v>
      </c>
      <c r="G254" s="3" t="s">
        <v>21</v>
      </c>
      <c r="H254" s="3" t="s">
        <v>22</v>
      </c>
      <c r="I254" s="3" t="s">
        <v>22</v>
      </c>
      <c r="J254" s="3" t="s">
        <v>22</v>
      </c>
      <c r="K254" s="3" t="s">
        <v>21</v>
      </c>
      <c r="L254" s="3">
        <v>4</v>
      </c>
      <c r="M254" s="3">
        <v>0</v>
      </c>
      <c r="N254" s="3">
        <v>1</v>
      </c>
      <c r="O254" s="3">
        <v>15</v>
      </c>
      <c r="P254" s="3" t="b">
        <f>FALSE()</f>
        <v>0</v>
      </c>
    </row>
    <row r="255" spans="1:16" ht="15" customHeight="1">
      <c r="A255" s="3" t="s">
        <v>278</v>
      </c>
      <c r="B255" s="3" t="s">
        <v>24</v>
      </c>
      <c r="C255" s="3">
        <v>16</v>
      </c>
      <c r="D255" s="3" t="s">
        <v>25</v>
      </c>
      <c r="E255" s="3" t="s">
        <v>19</v>
      </c>
      <c r="F255" s="3" t="s">
        <v>19</v>
      </c>
      <c r="G255" s="3" t="s">
        <v>21</v>
      </c>
      <c r="H255" s="3" t="s">
        <v>21</v>
      </c>
      <c r="I255" s="3" t="s">
        <v>21</v>
      </c>
      <c r="J255" s="3" t="s">
        <v>22</v>
      </c>
      <c r="K255" s="3" t="s">
        <v>21</v>
      </c>
      <c r="L255" s="3">
        <v>3</v>
      </c>
      <c r="M255" s="3">
        <v>2</v>
      </c>
      <c r="N255" s="3">
        <v>8</v>
      </c>
      <c r="O255" s="3">
        <v>10</v>
      </c>
      <c r="P255" s="3" t="b">
        <f>TRUE()</f>
        <v>1</v>
      </c>
    </row>
    <row r="256" spans="1:16" ht="15" customHeight="1">
      <c r="A256" s="3" t="s">
        <v>279</v>
      </c>
      <c r="B256" s="3" t="s">
        <v>24</v>
      </c>
      <c r="C256" s="3">
        <v>17</v>
      </c>
      <c r="D256" s="3" t="s">
        <v>18</v>
      </c>
      <c r="E256" s="3" t="s">
        <v>20</v>
      </c>
      <c r="F256" s="3" t="s">
        <v>31</v>
      </c>
      <c r="G256" s="3" t="s">
        <v>21</v>
      </c>
      <c r="H256" s="3" t="s">
        <v>22</v>
      </c>
      <c r="I256" s="3" t="s">
        <v>21</v>
      </c>
      <c r="J256" s="3" t="s">
        <v>21</v>
      </c>
      <c r="K256" s="3" t="s">
        <v>21</v>
      </c>
      <c r="L256" s="3">
        <v>2</v>
      </c>
      <c r="M256" s="3">
        <v>2</v>
      </c>
      <c r="N256" s="3">
        <v>7</v>
      </c>
      <c r="O256" s="3">
        <v>9</v>
      </c>
      <c r="P256" s="3" t="b">
        <f>TRUE()</f>
        <v>1</v>
      </c>
    </row>
    <row r="257" spans="1:16" ht="15" customHeight="1">
      <c r="A257" s="3" t="s">
        <v>280</v>
      </c>
      <c r="B257" s="3" t="s">
        <v>17</v>
      </c>
      <c r="C257" s="3">
        <v>21</v>
      </c>
      <c r="D257" s="3" t="s">
        <v>18</v>
      </c>
      <c r="E257" s="3" t="s">
        <v>20</v>
      </c>
      <c r="F257" s="3" t="s">
        <v>31</v>
      </c>
      <c r="G257" s="3" t="s">
        <v>21</v>
      </c>
      <c r="H257" s="3" t="s">
        <v>22</v>
      </c>
      <c r="I257" s="3" t="s">
        <v>21</v>
      </c>
      <c r="J257" s="3" t="s">
        <v>21</v>
      </c>
      <c r="K257" s="3" t="s">
        <v>21</v>
      </c>
      <c r="L257" s="3">
        <v>2</v>
      </c>
      <c r="M257" s="3">
        <v>1</v>
      </c>
      <c r="N257" s="3">
        <v>12</v>
      </c>
      <c r="O257" s="3">
        <v>11</v>
      </c>
      <c r="P257" s="3" t="b">
        <f>FALSE()</f>
        <v>0</v>
      </c>
    </row>
    <row r="258" spans="1:16" ht="15" customHeight="1">
      <c r="A258" s="3" t="s">
        <v>281</v>
      </c>
      <c r="B258" s="3" t="s">
        <v>17</v>
      </c>
      <c r="C258" s="3">
        <v>16</v>
      </c>
      <c r="D258" s="3" t="s">
        <v>25</v>
      </c>
      <c r="E258" s="3" t="s">
        <v>31</v>
      </c>
      <c r="F258" s="3" t="s">
        <v>20</v>
      </c>
      <c r="G258" s="3" t="s">
        <v>22</v>
      </c>
      <c r="H258" s="3" t="s">
        <v>22</v>
      </c>
      <c r="I258" s="3" t="s">
        <v>22</v>
      </c>
      <c r="J258" s="3" t="s">
        <v>22</v>
      </c>
      <c r="K258" s="3" t="s">
        <v>21</v>
      </c>
      <c r="L258" s="3">
        <v>2</v>
      </c>
      <c r="M258" s="3">
        <v>0</v>
      </c>
      <c r="N258" s="3">
        <v>5</v>
      </c>
      <c r="O258" s="3">
        <v>17</v>
      </c>
      <c r="P258" s="3" t="b">
        <f>FALSE()</f>
        <v>0</v>
      </c>
    </row>
    <row r="259" spans="1:16" ht="15" customHeight="1">
      <c r="A259" s="3" t="s">
        <v>282</v>
      </c>
      <c r="B259" s="3" t="s">
        <v>24</v>
      </c>
      <c r="C259" s="3">
        <v>15</v>
      </c>
      <c r="D259" s="3" t="s">
        <v>25</v>
      </c>
      <c r="E259" s="3" t="s">
        <v>20</v>
      </c>
      <c r="F259" s="3" t="s">
        <v>20</v>
      </c>
      <c r="G259" s="3" t="s">
        <v>21</v>
      </c>
      <c r="H259" s="3" t="s">
        <v>21</v>
      </c>
      <c r="I259" s="3" t="s">
        <v>21</v>
      </c>
      <c r="J259" s="3" t="s">
        <v>22</v>
      </c>
      <c r="K259" s="3" t="s">
        <v>21</v>
      </c>
      <c r="L259" s="3">
        <v>2</v>
      </c>
      <c r="M259" s="3">
        <v>0</v>
      </c>
      <c r="N259" s="3">
        <v>2</v>
      </c>
      <c r="O259" s="3">
        <v>15</v>
      </c>
      <c r="P259" s="3" t="b">
        <f>FALSE()</f>
        <v>0</v>
      </c>
    </row>
    <row r="260" spans="1:16" ht="15" customHeight="1">
      <c r="A260" s="3" t="s">
        <v>283</v>
      </c>
      <c r="B260" s="3" t="s">
        <v>24</v>
      </c>
      <c r="C260" s="3">
        <v>20</v>
      </c>
      <c r="D260" s="3" t="s">
        <v>18</v>
      </c>
      <c r="E260" s="3" t="s">
        <v>31</v>
      </c>
      <c r="F260" s="3"/>
      <c r="G260" s="3" t="s">
        <v>21</v>
      </c>
      <c r="H260" s="3" t="s">
        <v>22</v>
      </c>
      <c r="I260" s="3" t="s">
        <v>21</v>
      </c>
      <c r="J260" s="3" t="s">
        <v>21</v>
      </c>
      <c r="K260" s="3" t="s">
        <v>21</v>
      </c>
      <c r="L260" s="3">
        <v>1</v>
      </c>
      <c r="M260" s="3">
        <v>0</v>
      </c>
      <c r="N260" s="3">
        <v>3</v>
      </c>
      <c r="O260" s="3">
        <v>14</v>
      </c>
      <c r="P260" s="3" t="b">
        <f>FALSE()</f>
        <v>0</v>
      </c>
    </row>
    <row r="261" spans="1:16" ht="15" customHeight="1">
      <c r="A261" s="3" t="s">
        <v>284</v>
      </c>
      <c r="B261" s="3" t="s">
        <v>17</v>
      </c>
      <c r="C261" s="3">
        <v>21</v>
      </c>
      <c r="D261" s="3" t="s">
        <v>18</v>
      </c>
      <c r="E261" s="3" t="s">
        <v>20</v>
      </c>
      <c r="F261" s="3" t="s">
        <v>31</v>
      </c>
      <c r="G261" s="3" t="s">
        <v>21</v>
      </c>
      <c r="H261" s="3" t="s">
        <v>22</v>
      </c>
      <c r="I261" s="3" t="s">
        <v>21</v>
      </c>
      <c r="J261" s="3" t="s">
        <v>22</v>
      </c>
      <c r="K261" s="3" t="s">
        <v>21</v>
      </c>
      <c r="L261" s="3">
        <v>4</v>
      </c>
      <c r="M261" s="3">
        <v>0</v>
      </c>
      <c r="N261" s="3">
        <v>6</v>
      </c>
      <c r="O261" s="3">
        <v>12</v>
      </c>
      <c r="P261" s="3" t="b">
        <f>FALSE()</f>
        <v>0</v>
      </c>
    </row>
    <row r="262" spans="1:16" ht="15" customHeight="1">
      <c r="A262" s="3" t="s">
        <v>285</v>
      </c>
      <c r="B262" s="3" t="s">
        <v>24</v>
      </c>
      <c r="C262" s="3">
        <v>22</v>
      </c>
      <c r="D262" s="3" t="s">
        <v>25</v>
      </c>
      <c r="E262" s="3" t="s">
        <v>20</v>
      </c>
      <c r="F262" s="3" t="s">
        <v>20</v>
      </c>
      <c r="G262" s="3" t="s">
        <v>21</v>
      </c>
      <c r="H262" s="3" t="s">
        <v>21</v>
      </c>
      <c r="I262" s="3" t="s">
        <v>22</v>
      </c>
      <c r="J262" s="3" t="s">
        <v>21</v>
      </c>
      <c r="K262" s="3" t="s">
        <v>21</v>
      </c>
      <c r="L262" s="3">
        <v>2</v>
      </c>
      <c r="M262" s="3">
        <v>0</v>
      </c>
      <c r="N262" s="3">
        <v>3</v>
      </c>
      <c r="O262" s="3">
        <v>12</v>
      </c>
      <c r="P262" s="3" t="b">
        <f>FALSE()</f>
        <v>0</v>
      </c>
    </row>
    <row r="263" spans="1:16" ht="15" customHeight="1">
      <c r="A263" s="3" t="s">
        <v>286</v>
      </c>
      <c r="B263" s="3" t="s">
        <v>17</v>
      </c>
      <c r="C263" s="3">
        <v>22</v>
      </c>
      <c r="D263" s="3" t="s">
        <v>18</v>
      </c>
      <c r="E263" s="3" t="s">
        <v>20</v>
      </c>
      <c r="F263" s="3" t="s">
        <v>31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>
        <v>1</v>
      </c>
      <c r="M263" s="3">
        <v>0</v>
      </c>
      <c r="N263" s="3">
        <v>3</v>
      </c>
      <c r="O263" s="3">
        <v>16</v>
      </c>
      <c r="P263" s="3" t="b">
        <f>FALSE()</f>
        <v>0</v>
      </c>
    </row>
    <row r="264" spans="1:16" ht="15" customHeight="1">
      <c r="A264" s="3" t="s">
        <v>287</v>
      </c>
      <c r="B264" s="3" t="s">
        <v>24</v>
      </c>
      <c r="C264" s="3">
        <v>15</v>
      </c>
      <c r="D264" s="3" t="s">
        <v>25</v>
      </c>
      <c r="E264" s="3" t="s">
        <v>20</v>
      </c>
      <c r="F264" s="3" t="s">
        <v>20</v>
      </c>
      <c r="G264" s="3" t="s">
        <v>21</v>
      </c>
      <c r="H264" s="3" t="s">
        <v>22</v>
      </c>
      <c r="I264" s="3" t="s">
        <v>22</v>
      </c>
      <c r="J264" s="3" t="s">
        <v>21</v>
      </c>
      <c r="K264" s="3" t="s">
        <v>21</v>
      </c>
      <c r="L264" s="3">
        <v>3</v>
      </c>
      <c r="M264" s="3">
        <v>0</v>
      </c>
      <c r="N264" s="3">
        <v>1</v>
      </c>
      <c r="O264" s="3">
        <v>15</v>
      </c>
      <c r="P264" s="3" t="b">
        <f>FALSE()</f>
        <v>0</v>
      </c>
    </row>
    <row r="265" spans="1:16" ht="15" customHeight="1">
      <c r="A265" s="3" t="s">
        <v>288</v>
      </c>
      <c r="B265" s="3" t="s">
        <v>24</v>
      </c>
      <c r="C265" s="3">
        <v>21</v>
      </c>
      <c r="D265" s="3" t="s">
        <v>25</v>
      </c>
      <c r="E265" s="3" t="s">
        <v>31</v>
      </c>
      <c r="F265" s="3"/>
      <c r="G265" s="3" t="s">
        <v>21</v>
      </c>
      <c r="H265" s="3" t="s">
        <v>22</v>
      </c>
      <c r="I265" s="3" t="s">
        <v>21</v>
      </c>
      <c r="J265" s="3" t="s">
        <v>21</v>
      </c>
      <c r="K265" s="3" t="s">
        <v>21</v>
      </c>
      <c r="L265" s="3">
        <v>2</v>
      </c>
      <c r="M265" s="3">
        <v>0</v>
      </c>
      <c r="N265" s="3">
        <v>7</v>
      </c>
      <c r="O265" s="3">
        <v>4</v>
      </c>
      <c r="P265" s="3" t="b">
        <f>FALSE()</f>
        <v>0</v>
      </c>
    </row>
    <row r="266" spans="1:16" ht="15" customHeight="1">
      <c r="A266" s="3" t="s">
        <v>289</v>
      </c>
      <c r="B266" s="3" t="s">
        <v>17</v>
      </c>
      <c r="C266" s="3">
        <v>21</v>
      </c>
      <c r="D266" s="3" t="s">
        <v>25</v>
      </c>
      <c r="E266" s="3" t="s">
        <v>20</v>
      </c>
      <c r="F266" s="3"/>
      <c r="G266" s="3" t="s">
        <v>22</v>
      </c>
      <c r="H266" s="3" t="s">
        <v>21</v>
      </c>
      <c r="I266" s="3" t="s">
        <v>22</v>
      </c>
      <c r="J266" s="3" t="s">
        <v>21</v>
      </c>
      <c r="K266" s="3" t="s">
        <v>21</v>
      </c>
      <c r="L266" s="3">
        <v>2</v>
      </c>
      <c r="M266" s="3">
        <v>0</v>
      </c>
      <c r="N266" s="3">
        <v>4</v>
      </c>
      <c r="O266" s="3">
        <v>14</v>
      </c>
      <c r="P266" s="3" t="b">
        <f>FALSE()</f>
        <v>0</v>
      </c>
    </row>
    <row r="267" spans="1:16" ht="15" customHeight="1">
      <c r="A267" s="3" t="s">
        <v>290</v>
      </c>
      <c r="B267" s="3" t="s">
        <v>24</v>
      </c>
      <c r="C267" s="3">
        <v>20</v>
      </c>
      <c r="D267" s="3" t="s">
        <v>18</v>
      </c>
      <c r="E267" s="3" t="s">
        <v>19</v>
      </c>
      <c r="F267" s="3" t="s">
        <v>20</v>
      </c>
      <c r="G267" s="3" t="s">
        <v>21</v>
      </c>
      <c r="H267" s="3" t="s">
        <v>21</v>
      </c>
      <c r="I267" s="3" t="s">
        <v>21</v>
      </c>
      <c r="J267" s="3" t="s">
        <v>22</v>
      </c>
      <c r="K267" s="3" t="s">
        <v>21</v>
      </c>
      <c r="L267" s="3">
        <v>2</v>
      </c>
      <c r="M267" s="3">
        <v>0</v>
      </c>
      <c r="N267" s="3">
        <v>6</v>
      </c>
      <c r="O267" s="3">
        <v>17</v>
      </c>
      <c r="P267" s="3" t="b">
        <f>FALSE()</f>
        <v>0</v>
      </c>
    </row>
    <row r="268" spans="1:16" ht="15" customHeight="1">
      <c r="A268" s="3" t="s">
        <v>291</v>
      </c>
      <c r="B268" s="3" t="s">
        <v>24</v>
      </c>
      <c r="C268" s="3">
        <v>21</v>
      </c>
      <c r="D268" s="3" t="s">
        <v>18</v>
      </c>
      <c r="E268" s="3" t="s">
        <v>20</v>
      </c>
      <c r="F268" s="3" t="s">
        <v>20</v>
      </c>
      <c r="G268" s="3" t="s">
        <v>21</v>
      </c>
      <c r="H268" s="3" t="s">
        <v>22</v>
      </c>
      <c r="I268" s="3" t="s">
        <v>21</v>
      </c>
      <c r="J268" s="3" t="s">
        <v>21</v>
      </c>
      <c r="K268" s="3" t="s">
        <v>21</v>
      </c>
      <c r="L268" s="3">
        <v>1</v>
      </c>
      <c r="M268" s="3">
        <v>0</v>
      </c>
      <c r="N268" s="3">
        <v>4</v>
      </c>
      <c r="O268" s="3">
        <v>8</v>
      </c>
      <c r="P268" s="3" t="b">
        <f>FALSE()</f>
        <v>0</v>
      </c>
    </row>
    <row r="269" spans="1:16" ht="15" customHeight="1">
      <c r="A269" s="3" t="s">
        <v>292</v>
      </c>
      <c r="B269" s="3" t="s">
        <v>24</v>
      </c>
      <c r="C269" s="3">
        <v>21</v>
      </c>
      <c r="D269" s="3" t="s">
        <v>18</v>
      </c>
      <c r="E269" s="3" t="s">
        <v>31</v>
      </c>
      <c r="F269" s="3"/>
      <c r="G269" s="3" t="s">
        <v>21</v>
      </c>
      <c r="H269" s="3" t="s">
        <v>22</v>
      </c>
      <c r="I269" s="3" t="s">
        <v>22</v>
      </c>
      <c r="J269" s="3" t="s">
        <v>21</v>
      </c>
      <c r="K269" s="3" t="s">
        <v>21</v>
      </c>
      <c r="L269" s="3">
        <v>2</v>
      </c>
      <c r="M269" s="3">
        <v>1</v>
      </c>
      <c r="N269" s="3">
        <v>11</v>
      </c>
      <c r="O269" s="3">
        <v>12</v>
      </c>
      <c r="P269" s="3" t="b">
        <f>FALSE()</f>
        <v>0</v>
      </c>
    </row>
    <row r="270" spans="1:16" ht="15" customHeight="1">
      <c r="A270" s="3" t="s">
        <v>293</v>
      </c>
      <c r="B270" s="3" t="s">
        <v>24</v>
      </c>
      <c r="C270" s="3">
        <v>18</v>
      </c>
      <c r="D270" s="3" t="s">
        <v>18</v>
      </c>
      <c r="E270" s="3"/>
      <c r="F270" s="3" t="s">
        <v>20</v>
      </c>
      <c r="G270" s="3" t="s">
        <v>22</v>
      </c>
      <c r="H270" s="3" t="s">
        <v>22</v>
      </c>
      <c r="I270" s="3" t="s">
        <v>22</v>
      </c>
      <c r="J270" s="3" t="s">
        <v>21</v>
      </c>
      <c r="K270" s="3" t="s">
        <v>21</v>
      </c>
      <c r="L270" s="3">
        <v>1</v>
      </c>
      <c r="M270" s="3">
        <v>0</v>
      </c>
      <c r="N270" s="3">
        <v>6</v>
      </c>
      <c r="O270" s="3">
        <v>5</v>
      </c>
      <c r="P270" s="3" t="b">
        <f>FALSE()</f>
        <v>0</v>
      </c>
    </row>
    <row r="271" spans="1:16" ht="15" customHeight="1">
      <c r="A271" s="3" t="s">
        <v>294</v>
      </c>
      <c r="B271" s="3" t="s">
        <v>24</v>
      </c>
      <c r="C271" s="3">
        <v>15</v>
      </c>
      <c r="D271" s="3" t="s">
        <v>25</v>
      </c>
      <c r="E271" s="3" t="s">
        <v>20</v>
      </c>
      <c r="F271" s="3" t="s">
        <v>31</v>
      </c>
      <c r="G271" s="3" t="s">
        <v>21</v>
      </c>
      <c r="H271" s="3" t="s">
        <v>22</v>
      </c>
      <c r="I271" s="3" t="s">
        <v>21</v>
      </c>
      <c r="J271" s="3" t="s">
        <v>21</v>
      </c>
      <c r="K271" s="3" t="s">
        <v>22</v>
      </c>
      <c r="L271" s="3">
        <v>1</v>
      </c>
      <c r="M271" s="3">
        <v>1</v>
      </c>
      <c r="N271" s="3">
        <v>15</v>
      </c>
      <c r="O271" s="3">
        <v>10</v>
      </c>
      <c r="P271" s="3" t="b">
        <f>FALSE()</f>
        <v>0</v>
      </c>
    </row>
    <row r="272" spans="1:16" ht="15" customHeight="1">
      <c r="A272" s="3" t="s">
        <v>295</v>
      </c>
      <c r="B272" s="3" t="s">
        <v>24</v>
      </c>
      <c r="C272" s="3">
        <v>18</v>
      </c>
      <c r="D272" s="3" t="s">
        <v>18</v>
      </c>
      <c r="E272" s="3" t="s">
        <v>31</v>
      </c>
      <c r="F272" s="3" t="s">
        <v>20</v>
      </c>
      <c r="G272" s="3" t="s">
        <v>21</v>
      </c>
      <c r="H272" s="3" t="s">
        <v>22</v>
      </c>
      <c r="I272" s="3" t="s">
        <v>21</v>
      </c>
      <c r="J272" s="3" t="s">
        <v>21</v>
      </c>
      <c r="K272" s="3" t="s">
        <v>21</v>
      </c>
      <c r="L272" s="3">
        <v>1</v>
      </c>
      <c r="M272" s="3">
        <v>2</v>
      </c>
      <c r="N272" s="3">
        <v>9</v>
      </c>
      <c r="O272" s="3">
        <v>7</v>
      </c>
      <c r="P272" s="3" t="b">
        <f>TRUE()</f>
        <v>1</v>
      </c>
    </row>
    <row r="273" spans="1:16" ht="15" customHeight="1">
      <c r="A273" s="3" t="s">
        <v>296</v>
      </c>
      <c r="B273" s="3" t="s">
        <v>24</v>
      </c>
      <c r="C273" s="3">
        <v>16</v>
      </c>
      <c r="D273" s="3" t="s">
        <v>18</v>
      </c>
      <c r="E273" s="3" t="s">
        <v>31</v>
      </c>
      <c r="F273" s="3" t="s">
        <v>20</v>
      </c>
      <c r="G273" s="3" t="s">
        <v>21</v>
      </c>
      <c r="H273" s="3" t="s">
        <v>21</v>
      </c>
      <c r="I273" s="3" t="s">
        <v>21</v>
      </c>
      <c r="J273" s="3" t="s">
        <v>22</v>
      </c>
      <c r="K273" s="3" t="s">
        <v>21</v>
      </c>
      <c r="L273" s="3">
        <v>2</v>
      </c>
      <c r="M273" s="3">
        <v>0</v>
      </c>
      <c r="N273" s="3">
        <v>8</v>
      </c>
      <c r="O273" s="3">
        <v>9</v>
      </c>
      <c r="P273" s="3" t="b">
        <f>FALSE()</f>
        <v>0</v>
      </c>
    </row>
    <row r="274" spans="1:16" ht="15" customHeight="1">
      <c r="A274" s="3" t="s">
        <v>297</v>
      </c>
      <c r="B274" s="3" t="s">
        <v>24</v>
      </c>
      <c r="C274" s="3">
        <v>15</v>
      </c>
      <c r="D274" s="3" t="s">
        <v>18</v>
      </c>
      <c r="E274" s="3" t="s">
        <v>31</v>
      </c>
      <c r="F274" s="3"/>
      <c r="G274" s="3" t="s">
        <v>21</v>
      </c>
      <c r="H274" s="3" t="s">
        <v>22</v>
      </c>
      <c r="I274" s="3" t="s">
        <v>21</v>
      </c>
      <c r="J274" s="3" t="s">
        <v>21</v>
      </c>
      <c r="K274" s="3" t="s">
        <v>21</v>
      </c>
      <c r="L274" s="3">
        <v>2</v>
      </c>
      <c r="M274" s="3">
        <v>0</v>
      </c>
      <c r="N274" s="3">
        <v>5</v>
      </c>
      <c r="O274" s="3">
        <v>14</v>
      </c>
      <c r="P274" s="3" t="b">
        <f>FALSE()</f>
        <v>0</v>
      </c>
    </row>
    <row r="275" spans="1:16" ht="15" customHeight="1">
      <c r="A275" s="3" t="s">
        <v>298</v>
      </c>
      <c r="B275" s="3" t="s">
        <v>17</v>
      </c>
      <c r="C275" s="3">
        <v>15</v>
      </c>
      <c r="D275" s="3" t="s">
        <v>25</v>
      </c>
      <c r="E275" s="3" t="s">
        <v>20</v>
      </c>
      <c r="F275" s="3" t="s">
        <v>31</v>
      </c>
      <c r="G275" s="3" t="s">
        <v>21</v>
      </c>
      <c r="H275" s="3" t="s">
        <v>22</v>
      </c>
      <c r="I275" s="3" t="s">
        <v>21</v>
      </c>
      <c r="J275" s="3" t="s">
        <v>22</v>
      </c>
      <c r="K275" s="3" t="s">
        <v>22</v>
      </c>
      <c r="L275" s="3">
        <v>2</v>
      </c>
      <c r="M275" s="3">
        <v>0</v>
      </c>
      <c r="N275" s="3">
        <v>6</v>
      </c>
      <c r="O275" s="3">
        <v>16</v>
      </c>
      <c r="P275" s="3" t="b">
        <f>FALSE()</f>
        <v>0</v>
      </c>
    </row>
    <row r="276" spans="1:16" ht="15" customHeight="1">
      <c r="A276" s="3" t="s">
        <v>299</v>
      </c>
      <c r="B276" s="3" t="s">
        <v>17</v>
      </c>
      <c r="C276" s="3">
        <v>20</v>
      </c>
      <c r="D276" s="3" t="s">
        <v>18</v>
      </c>
      <c r="E276" s="3" t="s">
        <v>20</v>
      </c>
      <c r="F276" s="3" t="s">
        <v>19</v>
      </c>
      <c r="G276" s="3" t="s">
        <v>21</v>
      </c>
      <c r="H276" s="3" t="s">
        <v>21</v>
      </c>
      <c r="I276" s="3" t="s">
        <v>22</v>
      </c>
      <c r="J276" s="3" t="s">
        <v>22</v>
      </c>
      <c r="K276" s="3" t="s">
        <v>22</v>
      </c>
      <c r="L276" s="3">
        <v>1</v>
      </c>
      <c r="M276" s="3">
        <v>0</v>
      </c>
      <c r="N276" s="3">
        <v>4</v>
      </c>
      <c r="O276" s="3">
        <v>13</v>
      </c>
      <c r="P276" s="3" t="b">
        <f>FALSE()</f>
        <v>0</v>
      </c>
    </row>
    <row r="277" spans="1:16" ht="15" customHeight="1">
      <c r="A277" s="3" t="s">
        <v>300</v>
      </c>
      <c r="B277" s="3" t="s">
        <v>24</v>
      </c>
      <c r="C277" s="3">
        <v>19</v>
      </c>
      <c r="D277" s="3" t="s">
        <v>18</v>
      </c>
      <c r="E277" s="3" t="s">
        <v>20</v>
      </c>
      <c r="F277" s="3" t="s">
        <v>31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>
        <v>1</v>
      </c>
      <c r="M277" s="3">
        <v>0</v>
      </c>
      <c r="N277" s="3">
        <v>6</v>
      </c>
      <c r="O277" s="3">
        <v>14</v>
      </c>
      <c r="P277" s="3" t="b">
        <f>FALSE()</f>
        <v>0</v>
      </c>
    </row>
    <row r="278" spans="1:16" ht="15" customHeight="1">
      <c r="A278" s="3" t="s">
        <v>301</v>
      </c>
      <c r="B278" s="3" t="s">
        <v>24</v>
      </c>
      <c r="C278" s="3">
        <v>19</v>
      </c>
      <c r="D278" s="3" t="s">
        <v>18</v>
      </c>
      <c r="E278" s="3" t="s">
        <v>31</v>
      </c>
      <c r="F278" s="3" t="s">
        <v>20</v>
      </c>
      <c r="G278" s="3" t="s">
        <v>21</v>
      </c>
      <c r="H278" s="3" t="s">
        <v>22</v>
      </c>
      <c r="I278" s="3" t="s">
        <v>22</v>
      </c>
      <c r="J278" s="3" t="s">
        <v>22</v>
      </c>
      <c r="K278" s="3" t="s">
        <v>21</v>
      </c>
      <c r="L278" s="3">
        <v>2</v>
      </c>
      <c r="M278" s="3">
        <v>0</v>
      </c>
      <c r="N278" s="3">
        <v>5</v>
      </c>
      <c r="O278" s="3">
        <v>12</v>
      </c>
      <c r="P278" s="3" t="b">
        <f>FALSE()</f>
        <v>0</v>
      </c>
    </row>
    <row r="279" spans="1:16" ht="15" customHeight="1">
      <c r="A279" s="3" t="s">
        <v>302</v>
      </c>
      <c r="B279" s="3" t="s">
        <v>24</v>
      </c>
      <c r="C279" s="3">
        <v>20</v>
      </c>
      <c r="D279" s="3" t="s">
        <v>18</v>
      </c>
      <c r="E279" s="3" t="s">
        <v>20</v>
      </c>
      <c r="F279" s="3" t="s">
        <v>20</v>
      </c>
      <c r="G279" s="3" t="s">
        <v>21</v>
      </c>
      <c r="H279" s="3" t="s">
        <v>22</v>
      </c>
      <c r="I279" s="3" t="s">
        <v>21</v>
      </c>
      <c r="J279" s="3" t="s">
        <v>22</v>
      </c>
      <c r="K279" s="3" t="s">
        <v>21</v>
      </c>
      <c r="L279" s="3">
        <v>1</v>
      </c>
      <c r="M279" s="3">
        <v>2</v>
      </c>
      <c r="N279" s="3">
        <v>12</v>
      </c>
      <c r="O279" s="3">
        <v>3</v>
      </c>
      <c r="P279" s="3" t="b">
        <f>TRUE()</f>
        <v>1</v>
      </c>
    </row>
    <row r="280" spans="1:16" ht="15" customHeight="1">
      <c r="A280" s="3" t="s">
        <v>303</v>
      </c>
      <c r="B280" s="3" t="s">
        <v>17</v>
      </c>
      <c r="C280" s="3">
        <v>19</v>
      </c>
      <c r="D280" s="3" t="s">
        <v>18</v>
      </c>
      <c r="E280" s="3" t="s">
        <v>31</v>
      </c>
      <c r="F280" s="3" t="s">
        <v>19</v>
      </c>
      <c r="G280" s="3" t="s">
        <v>21</v>
      </c>
      <c r="H280" s="3" t="s">
        <v>21</v>
      </c>
      <c r="I280" s="3" t="s">
        <v>21</v>
      </c>
      <c r="J280" s="3" t="s">
        <v>22</v>
      </c>
      <c r="K280" s="3" t="s">
        <v>21</v>
      </c>
      <c r="L280" s="3">
        <v>3</v>
      </c>
      <c r="M280" s="3">
        <v>2</v>
      </c>
      <c r="N280" s="3">
        <v>8</v>
      </c>
      <c r="O280" s="3">
        <v>11</v>
      </c>
      <c r="P280" s="3" t="b">
        <f>TRUE()</f>
        <v>1</v>
      </c>
    </row>
    <row r="281" spans="1:16" ht="15" customHeight="1">
      <c r="A281" s="3" t="s">
        <v>304</v>
      </c>
      <c r="B281" s="3" t="s">
        <v>17</v>
      </c>
      <c r="C281" s="3">
        <v>20</v>
      </c>
      <c r="D281" s="3" t="s">
        <v>18</v>
      </c>
      <c r="E281" s="3" t="s">
        <v>20</v>
      </c>
      <c r="F281" s="3" t="s">
        <v>19</v>
      </c>
      <c r="G281" s="3" t="s">
        <v>21</v>
      </c>
      <c r="H281" s="3" t="s">
        <v>22</v>
      </c>
      <c r="I281" s="3" t="s">
        <v>22</v>
      </c>
      <c r="J281" s="3" t="s">
        <v>22</v>
      </c>
      <c r="K281" s="3" t="s">
        <v>21</v>
      </c>
      <c r="L281" s="3">
        <v>4</v>
      </c>
      <c r="M281" s="3">
        <v>1</v>
      </c>
      <c r="N281" s="3">
        <v>7</v>
      </c>
      <c r="O281" s="3">
        <v>16</v>
      </c>
      <c r="P281" s="3" t="b">
        <f>FALSE()</f>
        <v>0</v>
      </c>
    </row>
    <row r="282" spans="1:16" ht="15" customHeight="1">
      <c r="A282" s="3" t="s">
        <v>305</v>
      </c>
      <c r="B282" s="3" t="s">
        <v>24</v>
      </c>
      <c r="C282" s="3">
        <v>15</v>
      </c>
      <c r="D282" s="3" t="s">
        <v>18</v>
      </c>
      <c r="E282" s="3" t="s">
        <v>20</v>
      </c>
      <c r="F282" s="3" t="s">
        <v>31</v>
      </c>
      <c r="G282" s="3" t="s">
        <v>21</v>
      </c>
      <c r="H282" s="3" t="s">
        <v>22</v>
      </c>
      <c r="I282" s="3" t="s">
        <v>21</v>
      </c>
      <c r="J282" s="3" t="s">
        <v>22</v>
      </c>
      <c r="K282" s="3" t="s">
        <v>21</v>
      </c>
      <c r="L282" s="3">
        <v>2</v>
      </c>
      <c r="M282" s="3">
        <v>0</v>
      </c>
      <c r="N282" s="3">
        <v>11</v>
      </c>
      <c r="O282" s="3">
        <v>15</v>
      </c>
      <c r="P282" s="3" t="b">
        <f>FALSE()</f>
        <v>0</v>
      </c>
    </row>
    <row r="283" spans="1:16" ht="15" customHeight="1">
      <c r="A283" s="3" t="s">
        <v>306</v>
      </c>
      <c r="B283" s="3" t="s">
        <v>24</v>
      </c>
      <c r="C283" s="3">
        <v>21</v>
      </c>
      <c r="D283" s="3" t="s">
        <v>18</v>
      </c>
      <c r="E283" s="3" t="s">
        <v>31</v>
      </c>
      <c r="F283" s="3" t="s">
        <v>20</v>
      </c>
      <c r="G283" s="3" t="s">
        <v>22</v>
      </c>
      <c r="H283" s="3" t="s">
        <v>22</v>
      </c>
      <c r="I283" s="3" t="s">
        <v>22</v>
      </c>
      <c r="J283" s="3" t="s">
        <v>22</v>
      </c>
      <c r="K283" s="3" t="s">
        <v>21</v>
      </c>
      <c r="L283" s="3">
        <v>4</v>
      </c>
      <c r="M283" s="3">
        <v>0</v>
      </c>
      <c r="N283" s="3">
        <v>8</v>
      </c>
      <c r="O283" s="3">
        <v>10</v>
      </c>
      <c r="P283" s="3" t="b">
        <f>FALSE()</f>
        <v>0</v>
      </c>
    </row>
    <row r="284" spans="1:16" ht="15" customHeight="1">
      <c r="A284" s="3" t="s">
        <v>307</v>
      </c>
      <c r="B284" s="3" t="s">
        <v>24</v>
      </c>
      <c r="C284" s="3">
        <v>18</v>
      </c>
      <c r="D284" s="3" t="s">
        <v>18</v>
      </c>
      <c r="E284" s="3" t="s">
        <v>20</v>
      </c>
      <c r="F284" s="3" t="s">
        <v>20</v>
      </c>
      <c r="G284" s="3" t="s">
        <v>21</v>
      </c>
      <c r="H284" s="3" t="s">
        <v>22</v>
      </c>
      <c r="I284" s="3" t="s">
        <v>21</v>
      </c>
      <c r="J284" s="3" t="s">
        <v>22</v>
      </c>
      <c r="K284" s="3" t="s">
        <v>21</v>
      </c>
      <c r="L284" s="3">
        <v>1</v>
      </c>
      <c r="M284" s="3">
        <v>3</v>
      </c>
      <c r="N284" s="3">
        <v>11</v>
      </c>
      <c r="O284" s="3">
        <v>1</v>
      </c>
      <c r="P284" s="3" t="b">
        <f>TRUE()</f>
        <v>1</v>
      </c>
    </row>
    <row r="285" spans="1:16" ht="15" customHeight="1">
      <c r="A285" s="3" t="s">
        <v>308</v>
      </c>
      <c r="B285" s="3" t="s">
        <v>24</v>
      </c>
      <c r="C285" s="3">
        <v>16</v>
      </c>
      <c r="D285" s="3" t="s">
        <v>18</v>
      </c>
      <c r="E285" s="3" t="s">
        <v>31</v>
      </c>
      <c r="F285" s="3" t="s">
        <v>31</v>
      </c>
      <c r="G285" s="3" t="s">
        <v>21</v>
      </c>
      <c r="H285" s="3" t="s">
        <v>22</v>
      </c>
      <c r="I285" s="3" t="s">
        <v>22</v>
      </c>
      <c r="J285" s="3" t="s">
        <v>21</v>
      </c>
      <c r="K285" s="3" t="s">
        <v>21</v>
      </c>
      <c r="L285" s="3">
        <v>1</v>
      </c>
      <c r="M285" s="3">
        <v>0</v>
      </c>
      <c r="N285" s="3">
        <v>7</v>
      </c>
      <c r="O285" s="3">
        <v>9</v>
      </c>
      <c r="P285" s="3" t="b">
        <f>FALSE()</f>
        <v>0</v>
      </c>
    </row>
    <row r="286" spans="1:16" ht="15" customHeight="1">
      <c r="A286" s="3" t="s">
        <v>309</v>
      </c>
      <c r="B286" s="3" t="s">
        <v>17</v>
      </c>
      <c r="C286" s="3">
        <v>21</v>
      </c>
      <c r="D286" s="3" t="s">
        <v>18</v>
      </c>
      <c r="E286" s="3" t="s">
        <v>20</v>
      </c>
      <c r="F286" s="3" t="s">
        <v>31</v>
      </c>
      <c r="G286" s="3" t="s">
        <v>22</v>
      </c>
      <c r="H286" s="3" t="s">
        <v>22</v>
      </c>
      <c r="I286" s="3" t="s">
        <v>22</v>
      </c>
      <c r="J286" s="3" t="s">
        <v>22</v>
      </c>
      <c r="K286" s="3" t="s">
        <v>21</v>
      </c>
      <c r="L286" s="3">
        <v>3</v>
      </c>
      <c r="M286" s="3">
        <v>0</v>
      </c>
      <c r="N286" s="3">
        <v>6</v>
      </c>
      <c r="O286" s="3">
        <v>10</v>
      </c>
      <c r="P286" s="3" t="b">
        <f>FALSE()</f>
        <v>0</v>
      </c>
    </row>
    <row r="287" spans="1:16" ht="15" customHeight="1">
      <c r="A287" s="3" t="s">
        <v>310</v>
      </c>
      <c r="B287" s="3" t="s">
        <v>24</v>
      </c>
      <c r="C287" s="3">
        <v>20</v>
      </c>
      <c r="D287" s="3" t="s">
        <v>25</v>
      </c>
      <c r="E287" s="3" t="s">
        <v>20</v>
      </c>
      <c r="F287" s="3" t="s">
        <v>31</v>
      </c>
      <c r="G287" s="3" t="s">
        <v>21</v>
      </c>
      <c r="H287" s="3" t="s">
        <v>21</v>
      </c>
      <c r="I287" s="3" t="s">
        <v>22</v>
      </c>
      <c r="J287" s="3" t="s">
        <v>22</v>
      </c>
      <c r="K287" s="3" t="s">
        <v>21</v>
      </c>
      <c r="L287" s="3">
        <v>3</v>
      </c>
      <c r="M287" s="3">
        <v>0</v>
      </c>
      <c r="N287" s="3">
        <v>7</v>
      </c>
      <c r="O287" s="3">
        <v>14</v>
      </c>
      <c r="P287" s="3" t="b">
        <f>FALSE()</f>
        <v>0</v>
      </c>
    </row>
    <row r="288" spans="1:16" ht="15" customHeight="1">
      <c r="A288" s="3" t="s">
        <v>311</v>
      </c>
      <c r="B288" s="3" t="s">
        <v>24</v>
      </c>
      <c r="C288" s="3">
        <v>15</v>
      </c>
      <c r="D288" s="3" t="s">
        <v>18</v>
      </c>
      <c r="E288" s="3" t="s">
        <v>20</v>
      </c>
      <c r="F288" s="3" t="s">
        <v>19</v>
      </c>
      <c r="G288" s="3" t="s">
        <v>21</v>
      </c>
      <c r="H288" s="3" t="s">
        <v>22</v>
      </c>
      <c r="I288" s="3" t="s">
        <v>21</v>
      </c>
      <c r="J288" s="3" t="s">
        <v>22</v>
      </c>
      <c r="K288" s="3" t="s">
        <v>21</v>
      </c>
      <c r="L288" s="3">
        <v>3</v>
      </c>
      <c r="M288" s="3">
        <v>0</v>
      </c>
      <c r="N288" s="3">
        <v>6</v>
      </c>
      <c r="O288" s="3">
        <v>15</v>
      </c>
      <c r="P288" s="3" t="b">
        <f>FALSE()</f>
        <v>0</v>
      </c>
    </row>
    <row r="289" spans="1:16" ht="15" customHeight="1">
      <c r="A289" s="3" t="s">
        <v>312</v>
      </c>
      <c r="B289" s="3" t="s">
        <v>24</v>
      </c>
      <c r="C289" s="3">
        <v>16</v>
      </c>
      <c r="D289" s="3" t="s">
        <v>18</v>
      </c>
      <c r="E289" s="3" t="s">
        <v>20</v>
      </c>
      <c r="F289" s="3" t="s">
        <v>20</v>
      </c>
      <c r="G289" s="3" t="s">
        <v>22</v>
      </c>
      <c r="H289" s="3" t="s">
        <v>22</v>
      </c>
      <c r="I289" s="3" t="s">
        <v>21</v>
      </c>
      <c r="J289" s="3" t="s">
        <v>21</v>
      </c>
      <c r="K289" s="3" t="s">
        <v>21</v>
      </c>
      <c r="L289" s="3">
        <v>1</v>
      </c>
      <c r="M289" s="3">
        <v>0</v>
      </c>
      <c r="N289" s="3">
        <v>5</v>
      </c>
      <c r="O289" s="3">
        <v>9</v>
      </c>
      <c r="P289" s="3" t="b">
        <f>FALSE()</f>
        <v>0</v>
      </c>
    </row>
    <row r="290" spans="1:16" ht="15" customHeight="1">
      <c r="A290" s="3" t="s">
        <v>313</v>
      </c>
      <c r="B290" s="3" t="s">
        <v>17</v>
      </c>
      <c r="C290" s="3">
        <v>15</v>
      </c>
      <c r="D290" s="3" t="s">
        <v>18</v>
      </c>
      <c r="E290" s="3" t="s">
        <v>20</v>
      </c>
      <c r="F290" s="3" t="s">
        <v>31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>
        <v>3</v>
      </c>
      <c r="M290" s="3">
        <v>0</v>
      </c>
      <c r="N290" s="3">
        <v>3</v>
      </c>
      <c r="O290" s="3">
        <v>17</v>
      </c>
      <c r="P290" s="3" t="b">
        <f>FALSE()</f>
        <v>0</v>
      </c>
    </row>
    <row r="291" spans="1:16" ht="15" customHeight="1">
      <c r="A291" s="3" t="s">
        <v>314</v>
      </c>
      <c r="B291" s="3" t="s">
        <v>24</v>
      </c>
      <c r="C291" s="3">
        <v>17</v>
      </c>
      <c r="D291" s="3" t="s">
        <v>18</v>
      </c>
      <c r="E291" s="3" t="s">
        <v>19</v>
      </c>
      <c r="F291" s="3" t="s">
        <v>20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>
        <v>2</v>
      </c>
      <c r="M291" s="3">
        <v>0</v>
      </c>
      <c r="N291" s="3">
        <v>6</v>
      </c>
      <c r="O291" s="3">
        <v>15</v>
      </c>
      <c r="P291" s="3" t="b">
        <f>FALSE()</f>
        <v>0</v>
      </c>
    </row>
    <row r="292" spans="1:16" ht="15" customHeight="1">
      <c r="A292" s="3" t="s">
        <v>315</v>
      </c>
      <c r="B292" s="3" t="s">
        <v>17</v>
      </c>
      <c r="C292" s="3">
        <v>15</v>
      </c>
      <c r="D292" s="3" t="s">
        <v>18</v>
      </c>
      <c r="E292" s="3" t="s">
        <v>19</v>
      </c>
      <c r="F292" s="3" t="s">
        <v>19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>
        <v>2</v>
      </c>
      <c r="M292" s="3">
        <v>0</v>
      </c>
      <c r="N292" s="3">
        <v>11</v>
      </c>
      <c r="O292" s="3">
        <v>12</v>
      </c>
      <c r="P292" s="3" t="b">
        <f>FALSE()</f>
        <v>0</v>
      </c>
    </row>
    <row r="293" spans="1:16" ht="15" customHeight="1">
      <c r="A293" s="3" t="s">
        <v>316</v>
      </c>
      <c r="B293" s="3" t="s">
        <v>24</v>
      </c>
      <c r="C293" s="3">
        <v>20</v>
      </c>
      <c r="D293" s="3" t="s">
        <v>18</v>
      </c>
      <c r="E293" s="3" t="s">
        <v>20</v>
      </c>
      <c r="F293" s="3" t="s">
        <v>31</v>
      </c>
      <c r="G293" s="3" t="s">
        <v>21</v>
      </c>
      <c r="H293" s="3" t="s">
        <v>22</v>
      </c>
      <c r="I293" s="3" t="s">
        <v>21</v>
      </c>
      <c r="J293" s="3" t="s">
        <v>21</v>
      </c>
      <c r="K293" s="3" t="s">
        <v>21</v>
      </c>
      <c r="L293" s="3">
        <v>1</v>
      </c>
      <c r="M293" s="3">
        <v>0</v>
      </c>
      <c r="N293" s="3">
        <v>6</v>
      </c>
      <c r="O293" s="3">
        <v>12</v>
      </c>
      <c r="P293" s="3" t="b">
        <f>FALSE()</f>
        <v>0</v>
      </c>
    </row>
    <row r="294" spans="1:16" ht="15" customHeight="1">
      <c r="A294" s="3" t="s">
        <v>317</v>
      </c>
      <c r="B294" s="3" t="s">
        <v>17</v>
      </c>
      <c r="C294" s="3">
        <v>19</v>
      </c>
      <c r="D294" s="3" t="s">
        <v>25</v>
      </c>
      <c r="E294" s="3" t="s">
        <v>20</v>
      </c>
      <c r="F294" s="3" t="s">
        <v>20</v>
      </c>
      <c r="G294" s="3" t="s">
        <v>21</v>
      </c>
      <c r="H294" s="3" t="s">
        <v>22</v>
      </c>
      <c r="I294" s="3" t="s">
        <v>21</v>
      </c>
      <c r="J294" s="3" t="s">
        <v>21</v>
      </c>
      <c r="K294" s="3" t="s">
        <v>21</v>
      </c>
      <c r="L294" s="3">
        <v>4</v>
      </c>
      <c r="M294" s="3">
        <v>0</v>
      </c>
      <c r="N294" s="3">
        <v>7</v>
      </c>
      <c r="O294" s="3">
        <v>11</v>
      </c>
      <c r="P294" s="3" t="b">
        <f>FALSE()</f>
        <v>0</v>
      </c>
    </row>
    <row r="295" spans="1:16" ht="15" customHeight="1">
      <c r="A295" s="3" t="s">
        <v>318</v>
      </c>
      <c r="B295" s="3" t="s">
        <v>24</v>
      </c>
      <c r="C295" s="3">
        <v>22</v>
      </c>
      <c r="D295" s="3" t="s">
        <v>18</v>
      </c>
      <c r="E295" s="3" t="s">
        <v>20</v>
      </c>
      <c r="F295" s="3" t="s">
        <v>20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>
        <v>1</v>
      </c>
      <c r="M295" s="3">
        <v>0</v>
      </c>
      <c r="N295" s="3">
        <v>7</v>
      </c>
      <c r="O295" s="3">
        <v>12</v>
      </c>
      <c r="P295" s="3" t="b">
        <f>TRUE()</f>
        <v>1</v>
      </c>
    </row>
    <row r="296" spans="1:16" ht="15" customHeight="1">
      <c r="A296" s="3" t="s">
        <v>319</v>
      </c>
      <c r="B296" s="3" t="s">
        <v>17</v>
      </c>
      <c r="C296" s="3">
        <v>20</v>
      </c>
      <c r="D296" s="3" t="s">
        <v>18</v>
      </c>
      <c r="E296" s="3"/>
      <c r="F296" s="3" t="s">
        <v>31</v>
      </c>
      <c r="G296" s="3" t="s">
        <v>21</v>
      </c>
      <c r="H296" s="3" t="s">
        <v>22</v>
      </c>
      <c r="I296" s="3" t="s">
        <v>21</v>
      </c>
      <c r="J296" s="3" t="s">
        <v>21</v>
      </c>
      <c r="K296" s="3" t="s">
        <v>21</v>
      </c>
      <c r="L296" s="3">
        <v>3</v>
      </c>
      <c r="M296" s="3">
        <v>2</v>
      </c>
      <c r="N296" s="3">
        <v>7</v>
      </c>
      <c r="O296" s="3">
        <v>10</v>
      </c>
      <c r="P296" s="3" t="b">
        <f>TRUE()</f>
        <v>1</v>
      </c>
    </row>
    <row r="297" spans="1:16" ht="15" customHeight="1">
      <c r="A297" s="3" t="s">
        <v>320</v>
      </c>
      <c r="B297" s="3" t="s">
        <v>17</v>
      </c>
      <c r="C297" s="3">
        <v>19</v>
      </c>
      <c r="D297" s="3" t="s">
        <v>18</v>
      </c>
      <c r="E297" s="3" t="s">
        <v>20</v>
      </c>
      <c r="F297" s="3" t="s">
        <v>20</v>
      </c>
      <c r="G297" s="3" t="s">
        <v>21</v>
      </c>
      <c r="H297" s="3" t="s">
        <v>22</v>
      </c>
      <c r="I297" s="3" t="s">
        <v>21</v>
      </c>
      <c r="J297" s="3" t="s">
        <v>21</v>
      </c>
      <c r="K297" s="3" t="s">
        <v>21</v>
      </c>
      <c r="L297" s="3">
        <v>2</v>
      </c>
      <c r="M297" s="3">
        <v>0</v>
      </c>
      <c r="N297" s="3">
        <v>5</v>
      </c>
      <c r="O297" s="3">
        <v>14</v>
      </c>
      <c r="P297" s="3" t="b">
        <f>FALSE()</f>
        <v>0</v>
      </c>
    </row>
    <row r="298" spans="1:16" ht="15" customHeight="1">
      <c r="A298" s="3" t="s">
        <v>321</v>
      </c>
      <c r="B298" s="3" t="s">
        <v>17</v>
      </c>
      <c r="C298" s="3">
        <v>19</v>
      </c>
      <c r="D298" s="3" t="s">
        <v>18</v>
      </c>
      <c r="E298" s="3" t="s">
        <v>19</v>
      </c>
      <c r="F298" s="3" t="s">
        <v>20</v>
      </c>
      <c r="G298" s="3" t="s">
        <v>21</v>
      </c>
      <c r="H298" s="3" t="s">
        <v>21</v>
      </c>
      <c r="I298" s="3" t="s">
        <v>21</v>
      </c>
      <c r="J298" s="3" t="s">
        <v>22</v>
      </c>
      <c r="K298" s="3" t="s">
        <v>21</v>
      </c>
      <c r="L298" s="3">
        <v>3</v>
      </c>
      <c r="M298" s="3">
        <v>0</v>
      </c>
      <c r="N298" s="3">
        <v>4</v>
      </c>
      <c r="O298" s="3">
        <v>16</v>
      </c>
      <c r="P298" s="3" t="b">
        <f>FALSE()</f>
        <v>0</v>
      </c>
    </row>
    <row r="299" spans="1:16" ht="15" customHeight="1">
      <c r="A299" s="3" t="s">
        <v>322</v>
      </c>
      <c r="B299" s="3" t="s">
        <v>17</v>
      </c>
      <c r="C299" s="3">
        <v>15</v>
      </c>
      <c r="D299" s="3" t="s">
        <v>18</v>
      </c>
      <c r="E299" s="3" t="s">
        <v>31</v>
      </c>
      <c r="F299" s="3" t="s">
        <v>20</v>
      </c>
      <c r="G299" s="3" t="s">
        <v>21</v>
      </c>
      <c r="H299" s="3" t="s">
        <v>22</v>
      </c>
      <c r="I299" s="3" t="s">
        <v>22</v>
      </c>
      <c r="J299" s="3" t="s">
        <v>21</v>
      </c>
      <c r="K299" s="3" t="s">
        <v>21</v>
      </c>
      <c r="L299" s="3">
        <v>3</v>
      </c>
      <c r="M299" s="3">
        <v>1</v>
      </c>
      <c r="N299" s="3">
        <v>8</v>
      </c>
      <c r="O299" s="3">
        <v>11</v>
      </c>
      <c r="P299" s="3" t="b">
        <f>FALSE()</f>
        <v>0</v>
      </c>
    </row>
    <row r="300" spans="1:16" ht="15" customHeight="1">
      <c r="A300" s="3" t="s">
        <v>323</v>
      </c>
      <c r="B300" s="3" t="s">
        <v>17</v>
      </c>
      <c r="C300" s="3">
        <v>15</v>
      </c>
      <c r="D300" s="3" t="s">
        <v>25</v>
      </c>
      <c r="E300" s="3" t="s">
        <v>31</v>
      </c>
      <c r="F300" s="3" t="s">
        <v>20</v>
      </c>
      <c r="G300" s="3" t="s">
        <v>22</v>
      </c>
      <c r="H300" s="3" t="s">
        <v>21</v>
      </c>
      <c r="I300" s="3" t="s">
        <v>21</v>
      </c>
      <c r="J300" s="3" t="s">
        <v>21</v>
      </c>
      <c r="K300" s="3" t="s">
        <v>21</v>
      </c>
      <c r="L300" s="3">
        <v>3</v>
      </c>
      <c r="M300" s="3">
        <v>0</v>
      </c>
      <c r="N300" s="3">
        <v>0</v>
      </c>
      <c r="O300" s="3">
        <v>15</v>
      </c>
      <c r="P300" s="3" t="b">
        <f>FALSE()</f>
        <v>0</v>
      </c>
    </row>
    <row r="301" spans="1:16" ht="15" customHeight="1">
      <c r="A301" s="3" t="s">
        <v>324</v>
      </c>
      <c r="B301" s="3" t="s">
        <v>17</v>
      </c>
      <c r="C301" s="3">
        <v>19</v>
      </c>
      <c r="D301" s="3" t="s">
        <v>25</v>
      </c>
      <c r="E301" s="3" t="s">
        <v>19</v>
      </c>
      <c r="F301" s="3" t="s">
        <v>19</v>
      </c>
      <c r="G301" s="3" t="s">
        <v>21</v>
      </c>
      <c r="H301" s="3" t="s">
        <v>22</v>
      </c>
      <c r="I301" s="3" t="s">
        <v>21</v>
      </c>
      <c r="J301" s="3" t="s">
        <v>21</v>
      </c>
      <c r="K301" s="3" t="s">
        <v>21</v>
      </c>
      <c r="L301" s="3">
        <v>1</v>
      </c>
      <c r="M301" s="3">
        <v>1</v>
      </c>
      <c r="N301" s="3">
        <v>10</v>
      </c>
      <c r="O301" s="3">
        <v>10</v>
      </c>
      <c r="P301" s="3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zoomScaleNormal="100" workbookViewId="0">
      <selection activeCell="L22" sqref="L22"/>
    </sheetView>
  </sheetViews>
  <sheetFormatPr defaultColWidth="8.7109375" defaultRowHeight="15"/>
  <cols>
    <col min="1" max="1" width="16" customWidth="1"/>
    <col min="2" max="2" width="19.5703125" customWidth="1"/>
    <col min="3" max="3" width="19.42578125" customWidth="1"/>
  </cols>
  <sheetData>
    <row r="1" spans="1:3" ht="15.75" customHeight="1">
      <c r="A1" s="4" t="s">
        <v>325</v>
      </c>
    </row>
    <row r="3" spans="1:3" ht="15" customHeight="1">
      <c r="A3" s="5" t="s">
        <v>15</v>
      </c>
      <c r="B3" s="5" t="s">
        <v>326</v>
      </c>
      <c r="C3" s="5" t="s">
        <v>327</v>
      </c>
    </row>
    <row r="4" spans="1:3" ht="15" customHeight="1">
      <c r="A4" t="s">
        <v>328</v>
      </c>
      <c r="B4">
        <f>COUNTIF(StudentData!$P$2:$P$301,A4)</f>
        <v>244</v>
      </c>
      <c r="C4" s="6">
        <f>B4/$B$6</f>
        <v>0.81333333333333335</v>
      </c>
    </row>
    <row r="5" spans="1:3" ht="15" customHeight="1">
      <c r="A5" t="s">
        <v>329</v>
      </c>
      <c r="B5">
        <f>COUNTIF(StudentData!$P$2:$P$301,A5)</f>
        <v>56</v>
      </c>
      <c r="C5" s="6">
        <f>B5/$B$6</f>
        <v>0.18666666666666668</v>
      </c>
    </row>
    <row r="6" spans="1:3" ht="15" customHeight="1">
      <c r="A6" s="7" t="s">
        <v>330</v>
      </c>
      <c r="B6">
        <f>SUM(B4:B5)</f>
        <v>300</v>
      </c>
      <c r="C6" s="6">
        <f>B6/B6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24"/>
  <sheetViews>
    <sheetView zoomScaleNormal="100" workbookViewId="0">
      <selection activeCell="B5" sqref="B5"/>
    </sheetView>
  </sheetViews>
  <sheetFormatPr defaultColWidth="8.7109375" defaultRowHeight="15"/>
  <cols>
    <col min="1" max="1" width="14" customWidth="1"/>
    <col min="2" max="2" width="21.42578125" customWidth="1"/>
  </cols>
  <sheetData>
    <row r="1" spans="1:2" ht="15.75" customHeight="1">
      <c r="A1" s="4" t="s">
        <v>331</v>
      </c>
    </row>
    <row r="3" spans="1:2" ht="15" customHeight="1">
      <c r="A3" s="5" t="s">
        <v>14</v>
      </c>
      <c r="B3" s="5" t="s">
        <v>332</v>
      </c>
    </row>
    <row r="4" spans="1:2" ht="15" customHeight="1">
      <c r="A4">
        <v>0</v>
      </c>
      <c r="B4">
        <f>COUNTIF(StudentData!$O$2:$O$301,A4)</f>
        <v>0</v>
      </c>
    </row>
    <row r="5" spans="1:2" ht="15" customHeight="1">
      <c r="A5">
        <v>1</v>
      </c>
      <c r="B5">
        <f>COUNTIF(StudentData!$O$2:$O$301,A5)</f>
        <v>2</v>
      </c>
    </row>
    <row r="6" spans="1:2" ht="15" customHeight="1">
      <c r="A6">
        <v>2</v>
      </c>
      <c r="B6">
        <f>COUNTIF(StudentData!$O$2:$O$301,A6)</f>
        <v>0</v>
      </c>
    </row>
    <row r="7" spans="1:2" ht="15" customHeight="1">
      <c r="A7">
        <v>3</v>
      </c>
      <c r="B7">
        <f>COUNTIF(StudentData!$O$2:$O$301,A7)</f>
        <v>2</v>
      </c>
    </row>
    <row r="8" spans="1:2" ht="15" customHeight="1">
      <c r="A8">
        <v>4</v>
      </c>
      <c r="B8">
        <f>COUNTIF(StudentData!$O$2:$O$301,A8)</f>
        <v>4</v>
      </c>
    </row>
    <row r="9" spans="1:2" ht="15" customHeight="1">
      <c r="A9">
        <v>5</v>
      </c>
      <c r="B9">
        <f>COUNTIF(StudentData!$O$2:$O$301,A9)</f>
        <v>3</v>
      </c>
    </row>
    <row r="10" spans="1:2" ht="15" customHeight="1">
      <c r="A10">
        <v>6</v>
      </c>
      <c r="B10">
        <f>COUNTIF(StudentData!$O$2:$O$301,A10)</f>
        <v>9</v>
      </c>
    </row>
    <row r="11" spans="1:2" ht="15" customHeight="1">
      <c r="A11">
        <v>7</v>
      </c>
      <c r="B11">
        <f>COUNTIF(StudentData!$O$2:$O$301,A11)</f>
        <v>11</v>
      </c>
    </row>
    <row r="12" spans="1:2" ht="15" customHeight="1">
      <c r="A12">
        <v>8</v>
      </c>
      <c r="B12">
        <f>COUNTIF(StudentData!$O$2:$O$301,A12)</f>
        <v>7</v>
      </c>
    </row>
    <row r="13" spans="1:2" ht="15" customHeight="1">
      <c r="A13">
        <v>9</v>
      </c>
      <c r="B13">
        <f>COUNTIF(StudentData!$O$2:$O$301,A13)</f>
        <v>25</v>
      </c>
    </row>
    <row r="14" spans="1:2" ht="15" customHeight="1">
      <c r="A14">
        <v>10</v>
      </c>
      <c r="B14">
        <f>COUNTIF(StudentData!$O$2:$O$301,A14)</f>
        <v>27</v>
      </c>
    </row>
    <row r="15" spans="1:2" ht="15" customHeight="1">
      <c r="A15">
        <v>11</v>
      </c>
      <c r="B15">
        <f>COUNTIF(StudentData!$O$2:$O$301,A15)</f>
        <v>31</v>
      </c>
    </row>
    <row r="16" spans="1:2" ht="15" customHeight="1">
      <c r="A16">
        <v>12</v>
      </c>
      <c r="B16">
        <f>COUNTIF(StudentData!$O$2:$O$301,A16)</f>
        <v>36</v>
      </c>
    </row>
    <row r="17" spans="1:2" ht="15" customHeight="1">
      <c r="A17">
        <v>13</v>
      </c>
      <c r="B17">
        <f>COUNTIF(StudentData!$O$2:$O$301,A17)</f>
        <v>35</v>
      </c>
    </row>
    <row r="18" spans="1:2" ht="15" customHeight="1">
      <c r="A18">
        <v>14</v>
      </c>
      <c r="B18">
        <f>COUNTIF(StudentData!$O$2:$O$301,A18)</f>
        <v>35</v>
      </c>
    </row>
    <row r="19" spans="1:2" ht="15" customHeight="1">
      <c r="A19">
        <v>15</v>
      </c>
      <c r="B19">
        <f>COUNTIF(StudentData!$O$2:$O$301,A19)</f>
        <v>43</v>
      </c>
    </row>
    <row r="20" spans="1:2" ht="15" customHeight="1">
      <c r="A20">
        <v>16</v>
      </c>
      <c r="B20">
        <f>COUNTIF(StudentData!$O$2:$O$301,A20)</f>
        <v>17</v>
      </c>
    </row>
    <row r="21" spans="1:2" ht="15" customHeight="1">
      <c r="A21">
        <v>17</v>
      </c>
      <c r="B21">
        <f>COUNTIF(StudentData!$O$2:$O$301,A21)</f>
        <v>8</v>
      </c>
    </row>
    <row r="22" spans="1:2" ht="15" customHeight="1">
      <c r="A22">
        <v>18</v>
      </c>
      <c r="B22">
        <f>COUNTIF(StudentData!$O$2:$O$301,A22)</f>
        <v>5</v>
      </c>
    </row>
    <row r="23" spans="1:2" ht="15" customHeight="1">
      <c r="A23">
        <v>19</v>
      </c>
      <c r="B23">
        <f>COUNTIF(StudentData!$O$2:$O$301,A23)</f>
        <v>0</v>
      </c>
    </row>
    <row r="24" spans="1:2" ht="15" customHeight="1">
      <c r="A24">
        <v>20</v>
      </c>
      <c r="B24">
        <f>COUNTIF(StudentData!$O$2:$O$301,A24)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33D7-2777-4FE4-B23E-F4AA0CFCA7D1}">
  <sheetPr codeName="Sheet5"/>
  <dimension ref="A1:B23"/>
  <sheetViews>
    <sheetView workbookViewId="0">
      <selection activeCell="D25" sqref="D25"/>
    </sheetView>
  </sheetViews>
  <sheetFormatPr defaultRowHeight="15"/>
  <cols>
    <col min="1" max="1" width="13.140625" bestFit="1" customWidth="1"/>
    <col min="2" max="2" width="26" bestFit="1" customWidth="1"/>
  </cols>
  <sheetData>
    <row r="1" spans="1:2">
      <c r="A1" s="14" t="s">
        <v>383</v>
      </c>
      <c r="B1" s="16" t="s">
        <v>384</v>
      </c>
    </row>
    <row r="2" spans="1:2">
      <c r="A2" s="15">
        <v>0</v>
      </c>
      <c r="B2" s="17">
        <v>0</v>
      </c>
    </row>
    <row r="3" spans="1:2">
      <c r="A3" s="15">
        <v>1</v>
      </c>
      <c r="B3" s="17">
        <v>2</v>
      </c>
    </row>
    <row r="4" spans="1:2">
      <c r="A4" s="15">
        <v>2</v>
      </c>
      <c r="B4" s="17">
        <v>0</v>
      </c>
    </row>
    <row r="5" spans="1:2">
      <c r="A5" s="15">
        <v>3</v>
      </c>
      <c r="B5" s="17">
        <v>2</v>
      </c>
    </row>
    <row r="6" spans="1:2">
      <c r="A6" s="15">
        <v>4</v>
      </c>
      <c r="B6" s="17">
        <v>4</v>
      </c>
    </row>
    <row r="7" spans="1:2">
      <c r="A7" s="15">
        <v>5</v>
      </c>
      <c r="B7" s="17">
        <v>3</v>
      </c>
    </row>
    <row r="8" spans="1:2">
      <c r="A8" s="15">
        <v>6</v>
      </c>
      <c r="B8" s="17">
        <v>9</v>
      </c>
    </row>
    <row r="9" spans="1:2">
      <c r="A9" s="15">
        <v>7</v>
      </c>
      <c r="B9" s="17">
        <v>11</v>
      </c>
    </row>
    <row r="10" spans="1:2">
      <c r="A10" s="15">
        <v>8</v>
      </c>
      <c r="B10" s="17">
        <v>7</v>
      </c>
    </row>
    <row r="11" spans="1:2">
      <c r="A11" s="15">
        <v>9</v>
      </c>
      <c r="B11" s="17">
        <v>25</v>
      </c>
    </row>
    <row r="12" spans="1:2">
      <c r="A12" s="15">
        <v>10</v>
      </c>
      <c r="B12" s="17">
        <v>27</v>
      </c>
    </row>
    <row r="13" spans="1:2">
      <c r="A13" s="15">
        <v>11</v>
      </c>
      <c r="B13" s="17">
        <v>31</v>
      </c>
    </row>
    <row r="14" spans="1:2">
      <c r="A14" s="15">
        <v>12</v>
      </c>
      <c r="B14" s="17">
        <v>36</v>
      </c>
    </row>
    <row r="15" spans="1:2">
      <c r="A15" s="15">
        <v>13</v>
      </c>
      <c r="B15" s="17">
        <v>35</v>
      </c>
    </row>
    <row r="16" spans="1:2">
      <c r="A16" s="15">
        <v>14</v>
      </c>
      <c r="B16" s="17">
        <v>35</v>
      </c>
    </row>
    <row r="17" spans="1:2">
      <c r="A17" s="15">
        <v>15</v>
      </c>
      <c r="B17" s="17">
        <v>43</v>
      </c>
    </row>
    <row r="18" spans="1:2">
      <c r="A18" s="15">
        <v>16</v>
      </c>
      <c r="B18" s="17">
        <v>17</v>
      </c>
    </row>
    <row r="19" spans="1:2">
      <c r="A19" s="15">
        <v>17</v>
      </c>
      <c r="B19" s="17">
        <v>8</v>
      </c>
    </row>
    <row r="20" spans="1:2">
      <c r="A20" s="15">
        <v>18</v>
      </c>
      <c r="B20" s="17">
        <v>5</v>
      </c>
    </row>
    <row r="21" spans="1:2">
      <c r="A21" s="15">
        <v>19</v>
      </c>
      <c r="B21" s="17">
        <v>0</v>
      </c>
    </row>
    <row r="22" spans="1:2">
      <c r="A22" s="15">
        <v>20</v>
      </c>
      <c r="B22" s="17">
        <v>0</v>
      </c>
    </row>
    <row r="23" spans="1:2">
      <c r="A23" s="15" t="s">
        <v>330</v>
      </c>
      <c r="B23" s="18">
        <v>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7"/>
  <sheetViews>
    <sheetView zoomScaleNormal="100" workbookViewId="0">
      <selection activeCell="M28" sqref="M28"/>
    </sheetView>
  </sheetViews>
  <sheetFormatPr defaultColWidth="8.7109375" defaultRowHeight="15"/>
  <cols>
    <col min="1" max="1" width="26" customWidth="1"/>
    <col min="2" max="3" width="12" customWidth="1"/>
  </cols>
  <sheetData>
    <row r="1" spans="1:3" ht="15.75" customHeight="1">
      <c r="A1" s="4" t="s">
        <v>333</v>
      </c>
    </row>
    <row r="3" spans="1:3" ht="15" customHeight="1">
      <c r="A3" s="5" t="s">
        <v>12</v>
      </c>
      <c r="B3" s="5" t="s">
        <v>328</v>
      </c>
      <c r="C3" s="5" t="s">
        <v>329</v>
      </c>
    </row>
    <row r="4" spans="1:3" ht="15" customHeight="1">
      <c r="A4">
        <v>0</v>
      </c>
      <c r="B4">
        <f>COUNTIFS(StudentData!$M$2:$M$301,A4,StudentData!$P$2:$P$301,"FALSE")</f>
        <v>208</v>
      </c>
      <c r="C4">
        <f>COUNTIFS(StudentData!$M$2:$M$301,A4,StudentData!$P$2:$P$301,"TRUE")</f>
        <v>7</v>
      </c>
    </row>
    <row r="5" spans="1:3" ht="15" customHeight="1">
      <c r="A5">
        <v>1</v>
      </c>
      <c r="B5">
        <f>COUNTIFS(StudentData!$M$2:$M$301,A5,StudentData!$P$2:$P$301,"FALSE")</f>
        <v>30</v>
      </c>
      <c r="C5">
        <f>COUNTIFS(StudentData!$M$2:$M$301,A5,StudentData!$P$2:$P$301,"TRUE")</f>
        <v>14</v>
      </c>
    </row>
    <row r="6" spans="1:3" ht="15" customHeight="1">
      <c r="A6">
        <v>2</v>
      </c>
      <c r="B6">
        <f>COUNTIFS(StudentData!$M$2:$M$301,A6,StudentData!$P$2:$P$301,"FALSE")</f>
        <v>5</v>
      </c>
      <c r="C6">
        <f>COUNTIFS(StudentData!$M$2:$M$301,A6,StudentData!$P$2:$P$301,"TRUE")</f>
        <v>23</v>
      </c>
    </row>
    <row r="7" spans="1:3" ht="15" customHeight="1">
      <c r="A7">
        <v>3</v>
      </c>
      <c r="B7">
        <f>COUNTIFS(StudentData!$M$2:$M$301,A7,StudentData!$P$2:$P$301,"FALSE")</f>
        <v>1</v>
      </c>
      <c r="C7">
        <f>COUNTIFS(StudentData!$M$2:$M$301,A7,StudentData!$P$2:$P$301,"TRUE")</f>
        <v>12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7"/>
  <sheetViews>
    <sheetView zoomScaleNormal="100" workbookViewId="0">
      <selection activeCell="R16" sqref="R16"/>
    </sheetView>
  </sheetViews>
  <sheetFormatPr defaultColWidth="8.7109375" defaultRowHeight="15"/>
  <cols>
    <col min="1" max="1" width="18" customWidth="1"/>
    <col min="2" max="2" width="26.7109375" customWidth="1"/>
  </cols>
  <sheetData>
    <row r="1" spans="1:2" ht="15.75" customHeight="1">
      <c r="A1" s="4" t="s">
        <v>334</v>
      </c>
    </row>
    <row r="3" spans="1:2" ht="15" customHeight="1">
      <c r="A3" s="5" t="s">
        <v>11</v>
      </c>
      <c r="B3" s="5" t="s">
        <v>335</v>
      </c>
    </row>
    <row r="4" spans="1:2" ht="15" customHeight="1">
      <c r="A4" t="s">
        <v>336</v>
      </c>
      <c r="B4">
        <f>ROUND(AVERAGEIFS(StudentData!$O$2:$O$301,StudentData!$L$2:$L$301,1),0)</f>
        <v>11</v>
      </c>
    </row>
    <row r="5" spans="1:2" ht="15" customHeight="1">
      <c r="A5" t="s">
        <v>337</v>
      </c>
      <c r="B5">
        <f>ROUND(AVERAGEIFS(StudentData!$O$2:$O$301,StudentData!$L$2:$L$301,2),0)</f>
        <v>12</v>
      </c>
    </row>
    <row r="6" spans="1:2" ht="15" customHeight="1">
      <c r="A6" t="s">
        <v>338</v>
      </c>
      <c r="B6">
        <f>ROUND(AVERAGEIFS(StudentData!$O$2:$O$301,StudentData!$L$2:$L$301,3),0)</f>
        <v>13</v>
      </c>
    </row>
    <row r="7" spans="1:2" ht="15" customHeight="1">
      <c r="A7" t="s">
        <v>339</v>
      </c>
      <c r="B7">
        <f>ROUND(AVERAGEIFS(StudentData!$O$2:$O$301,StudentData!$L$2:$L$301,4),0)</f>
        <v>13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C5"/>
  <sheetViews>
    <sheetView zoomScaleNormal="100" workbookViewId="0">
      <selection activeCell="M29" sqref="M29"/>
    </sheetView>
  </sheetViews>
  <sheetFormatPr defaultColWidth="8.7109375" defaultRowHeight="15"/>
  <cols>
    <col min="1" max="1" width="18.85546875" customWidth="1"/>
    <col min="2" max="2" width="22.85546875" customWidth="1"/>
    <col min="3" max="3" width="22.42578125" customWidth="1"/>
  </cols>
  <sheetData>
    <row r="1" spans="1:3" ht="15.75" customHeight="1">
      <c r="A1" s="4" t="s">
        <v>340</v>
      </c>
    </row>
    <row r="3" spans="1:3" ht="15" customHeight="1">
      <c r="A3" s="5" t="s">
        <v>8</v>
      </c>
      <c r="B3" s="5" t="s">
        <v>341</v>
      </c>
      <c r="C3" s="5" t="s">
        <v>342</v>
      </c>
    </row>
    <row r="4" spans="1:3" ht="15" customHeight="1">
      <c r="A4" t="s">
        <v>22</v>
      </c>
      <c r="B4">
        <f>ROUND(AVERAGEIFS(StudentData!$O$2:$O$301,StudentData!$I$2:$I$301,A4,StudentData!$H$2:$H$301,"no"),1)</f>
        <v>11</v>
      </c>
      <c r="C4">
        <f>ROUND(AVERAGEIFS(StudentData!$O$2:$O$301,StudentData!$I$2:$I$301,A4,StudentData!$H$2:$H$301,"yes"),1)</f>
        <v>12.3</v>
      </c>
    </row>
    <row r="5" spans="1:3" ht="15" customHeight="1">
      <c r="A5" t="s">
        <v>21</v>
      </c>
      <c r="B5">
        <f>ROUND(AVERAGEIFS(StudentData!$O$2:$O$301,StudentData!$I$2:$I$301,A5,StudentData!$H$2:$H$301,"no"),1)</f>
        <v>11.9</v>
      </c>
      <c r="C5">
        <f>ROUND(AVERAGEIFS(StudentData!$O$2:$O$301,StudentData!$I$2:$I$301,A5,StudentData!$H$2:$H$301,"yes"),1)</f>
        <v>12.6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B11"/>
  <sheetViews>
    <sheetView tabSelected="1" zoomScaleNormal="100" workbookViewId="0">
      <selection activeCell="M4" sqref="M4"/>
    </sheetView>
  </sheetViews>
  <sheetFormatPr defaultColWidth="8.7109375" defaultRowHeight="15"/>
  <cols>
    <col min="1" max="1" width="18.140625" customWidth="1"/>
    <col min="2" max="2" width="25" customWidth="1"/>
  </cols>
  <sheetData>
    <row r="1" spans="1:2" ht="15.75" customHeight="1">
      <c r="A1" s="4" t="s">
        <v>343</v>
      </c>
    </row>
    <row r="3" spans="1:2" ht="15" customHeight="1">
      <c r="A3" s="5" t="s">
        <v>344</v>
      </c>
      <c r="B3" s="5" t="s">
        <v>335</v>
      </c>
    </row>
    <row r="4" spans="1:2" ht="15" customHeight="1">
      <c r="A4" t="s">
        <v>345</v>
      </c>
      <c r="B4">
        <f>IFERROR(ROUND(AVERAGEIFS(StudentData!$O$2:$O$301,StudentData!$N$2:$N$301,"&gt;="&amp;0,StudentData!$N$2:$N$301,"&lt;="&amp;3),1),0)</f>
        <v>13.9</v>
      </c>
    </row>
    <row r="5" spans="1:2" ht="15" customHeight="1">
      <c r="A5" t="s">
        <v>346</v>
      </c>
      <c r="B5">
        <f>IFERROR(ROUND(AVERAGEIFS(StudentData!$O$2:$O$301,StudentData!$N$2:$N$301,"&gt;="&amp;4,StudentData!$N$2:$N$301,"&lt;="&amp;7),1),0)</f>
        <v>12.9</v>
      </c>
    </row>
    <row r="6" spans="1:2" ht="15" customHeight="1">
      <c r="A6" t="s">
        <v>347</v>
      </c>
      <c r="B6">
        <f>IFERROR(ROUND(AVERAGEIFS(StudentData!$O$2:$O$301,StudentData!$N$2:$N$301,"&gt;="&amp;8,StudentData!$N$2:$N$301,"&lt;="&amp;11),1),0)</f>
        <v>10.4</v>
      </c>
    </row>
    <row r="7" spans="1:2" ht="15" customHeight="1">
      <c r="A7" t="s">
        <v>348</v>
      </c>
      <c r="B7">
        <f>IFERROR(ROUND(AVERAGEIFS(StudentData!$O$2:$O$301,StudentData!$N$2:$N$301,"&gt;="&amp;12,StudentData!$N$2:$N$301,"&lt;="&amp;15),1),0)</f>
        <v>7.7</v>
      </c>
    </row>
    <row r="8" spans="1:2" ht="15" customHeight="1">
      <c r="A8" t="s">
        <v>349</v>
      </c>
      <c r="B8">
        <f>IFERROR(ROUND(AVERAGEIFS(StudentData!$O$2:$O$301,StudentData!$N$2:$N$301,"&gt;="&amp;16,StudentData!$N$2:$N$301,"&lt;="&amp;19),1),0)</f>
        <v>6</v>
      </c>
    </row>
    <row r="9" spans="1:2" ht="15" customHeight="1">
      <c r="A9" t="s">
        <v>350</v>
      </c>
      <c r="B9">
        <f>IFERROR(ROUND(AVERAGEIFS(StudentData!$O$2:$O$301,StudentData!$N$2:$N$301,"&gt;="&amp;20,StudentData!$N$2:$N$301,"&lt;="&amp;23),1),0)</f>
        <v>9</v>
      </c>
    </row>
    <row r="10" spans="1:2" ht="15" customHeight="1">
      <c r="A10" t="s">
        <v>351</v>
      </c>
      <c r="B10">
        <f>IFERROR(ROUND(AVERAGEIFS(StudentData!$O$2:$O$301,StudentData!$N$2:$N$301,"&gt;="&amp;24,StudentData!$N$2:$N$301,"&lt;="&amp;27),1),0)</f>
        <v>0</v>
      </c>
    </row>
    <row r="11" spans="1:2" ht="15" customHeight="1">
      <c r="A11" t="s">
        <v>352</v>
      </c>
      <c r="B11">
        <f>IFERROR(ROUND(AVERAGEIFS(StudentData!$O$2:$O$301,StudentData!$N$2:$N$301,"&gt;="&amp;28,StudentData!$N$2:$N$301,"&lt;="&amp;32),1),0)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C5"/>
  <sheetViews>
    <sheetView zoomScaleNormal="100" workbookViewId="0">
      <selection activeCell="M31" sqref="M31"/>
    </sheetView>
  </sheetViews>
  <sheetFormatPr defaultColWidth="8.7109375" defaultRowHeight="15"/>
  <cols>
    <col min="1" max="1" width="12" customWidth="1"/>
    <col min="2" max="2" width="25.42578125" customWidth="1"/>
    <col min="3" max="3" width="23.85546875" customWidth="1"/>
  </cols>
  <sheetData>
    <row r="1" spans="1:3" ht="15.75" customHeight="1">
      <c r="A1" s="4" t="s">
        <v>353</v>
      </c>
    </row>
    <row r="3" spans="1:3" ht="15" customHeight="1">
      <c r="A3" s="5" t="s">
        <v>1</v>
      </c>
      <c r="B3" s="5" t="s">
        <v>335</v>
      </c>
      <c r="C3" s="5" t="s">
        <v>354</v>
      </c>
    </row>
    <row r="4" spans="1:3" ht="15" customHeight="1">
      <c r="A4" t="s">
        <v>24</v>
      </c>
      <c r="B4">
        <f>ROUND(AVERAGEIFS(StudentData!$O$2:$O$301,StudentData!$B$2:$B$301,A4),1)</f>
        <v>11.7</v>
      </c>
      <c r="C4" s="6">
        <f>COUNTIFS(StudentData!$B$2:$B$301,A4,StudentData!$P$2:$P$301,"TRUE")/COUNTIF(StudentData!$B$2:$B$301,A4)</f>
        <v>0.16770186335403728</v>
      </c>
    </row>
    <row r="5" spans="1:3" ht="15" customHeight="1">
      <c r="A5" t="s">
        <v>17</v>
      </c>
      <c r="B5">
        <f>ROUND(AVERAGEIFS(StudentData!$O$2:$O$301,StudentData!$B$2:$B$301,A5),1)</f>
        <v>12.2</v>
      </c>
      <c r="C5" s="6">
        <f>COUNTIFS(StudentData!$B$2:$B$301,A5,StudentData!$P$2:$P$301,"TRUE")/COUNTIF(StudentData!$B$2:$B$301,A5)</f>
        <v>0.20863309352517986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B25C-7A2E-49CB-A357-FABD3DD5FD9A}">
  <sheetPr codeName="Sheet11"/>
  <dimension ref="A1:A27"/>
  <sheetViews>
    <sheetView showGridLines="0" workbookViewId="0">
      <selection activeCell="A21" sqref="A21"/>
    </sheetView>
  </sheetViews>
  <sheetFormatPr defaultColWidth="151.85546875" defaultRowHeight="18.75"/>
  <cols>
    <col min="1" max="16384" width="151.85546875" style="12"/>
  </cols>
  <sheetData>
    <row r="1" spans="1:1">
      <c r="A1" s="11" t="s">
        <v>355</v>
      </c>
    </row>
    <row r="2" spans="1:1">
      <c r="A2" s="13" t="s">
        <v>356</v>
      </c>
    </row>
    <row r="3" spans="1:1">
      <c r="A3" s="13" t="s">
        <v>357</v>
      </c>
    </row>
    <row r="4" spans="1:1">
      <c r="A4" s="13" t="s">
        <v>358</v>
      </c>
    </row>
    <row r="5" spans="1:1">
      <c r="A5" s="13" t="s">
        <v>359</v>
      </c>
    </row>
    <row r="6" spans="1:1">
      <c r="A6" s="13" t="s">
        <v>360</v>
      </c>
    </row>
    <row r="7" spans="1:1">
      <c r="A7" s="13" t="s">
        <v>361</v>
      </c>
    </row>
    <row r="8" spans="1:1">
      <c r="A8" s="13" t="s">
        <v>362</v>
      </c>
    </row>
    <row r="9" spans="1:1">
      <c r="A9" s="13" t="s">
        <v>363</v>
      </c>
    </row>
    <row r="10" spans="1:1">
      <c r="A10" s="13" t="s">
        <v>364</v>
      </c>
    </row>
    <row r="11" spans="1:1">
      <c r="A11" s="13" t="s">
        <v>365</v>
      </c>
    </row>
    <row r="12" spans="1:1">
      <c r="A12" s="13" t="s">
        <v>366</v>
      </c>
    </row>
    <row r="13" spans="1:1">
      <c r="A13" s="13" t="s">
        <v>367</v>
      </c>
    </row>
    <row r="14" spans="1:1">
      <c r="A14" s="13" t="s">
        <v>368</v>
      </c>
    </row>
    <row r="15" spans="1:1">
      <c r="A15" s="13" t="s">
        <v>369</v>
      </c>
    </row>
    <row r="16" spans="1:1">
      <c r="A16" s="13" t="s">
        <v>370</v>
      </c>
    </row>
    <row r="17" spans="1:1">
      <c r="A17" s="13" t="s">
        <v>371</v>
      </c>
    </row>
    <row r="18" spans="1:1">
      <c r="A18" s="13" t="s">
        <v>372</v>
      </c>
    </row>
    <row r="19" spans="1:1">
      <c r="A19" s="13" t="s">
        <v>373</v>
      </c>
    </row>
    <row r="20" spans="1:1">
      <c r="A20" s="13" t="s">
        <v>374</v>
      </c>
    </row>
    <row r="21" spans="1:1">
      <c r="A21" s="13" t="s">
        <v>375</v>
      </c>
    </row>
    <row r="22" spans="1:1">
      <c r="A22" s="13" t="s">
        <v>376</v>
      </c>
    </row>
    <row r="23" spans="1:1">
      <c r="A23" s="13" t="s">
        <v>377</v>
      </c>
    </row>
    <row r="24" spans="1:1">
      <c r="A24" s="13" t="s">
        <v>378</v>
      </c>
    </row>
    <row r="25" spans="1:1">
      <c r="A25" s="13" t="s">
        <v>379</v>
      </c>
    </row>
    <row r="26" spans="1:1">
      <c r="A26" s="13" t="s">
        <v>380</v>
      </c>
    </row>
    <row r="27" spans="1:1">
      <c r="A27" s="13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StudentData</vt:lpstr>
      <vt:lpstr>Retention Overview</vt:lpstr>
      <vt:lpstr>Grades Distribution</vt:lpstr>
      <vt:lpstr>Grades Distribution 1</vt:lpstr>
      <vt:lpstr>Failures_Impact</vt:lpstr>
      <vt:lpstr>Study Time Impact</vt:lpstr>
      <vt:lpstr>Support Effect</vt:lpstr>
      <vt:lpstr>Absences Impact</vt:lpstr>
      <vt:lpstr>Demographics</vt:lpstr>
      <vt:lpstr>Column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Pranav</cp:lastModifiedBy>
  <cp:revision>2</cp:revision>
  <dcterms:created xsi:type="dcterms:W3CDTF">2026-09-21T10:46:13Z</dcterms:created>
  <dcterms:modified xsi:type="dcterms:W3CDTF">2026-09-22T14:59:31Z</dcterms:modified>
  <dc:language>en-US</dc:language>
</cp:coreProperties>
</file>